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2d241fd913b9bd/Documents/College Basketball/"/>
    </mc:Choice>
  </mc:AlternateContent>
  <xr:revisionPtr revIDLastSave="1611" documentId="8_{80D75316-DB23-4726-A0F3-B2C5FC0B6E64}" xr6:coauthVersionLast="47" xr6:coauthVersionMax="47" xr10:uidLastSave="{6B2C1753-2E9A-4957-BF5D-3C10B2B8DBAD}"/>
  <bookViews>
    <workbookView minimized="1" xWindow="1480" yWindow="1480" windowWidth="14400" windowHeight="8440" xr2:uid="{1F988972-B81A-4FCF-AAAC-53824A61731B}"/>
  </bookViews>
  <sheets>
    <sheet name="Tracker" sheetId="1" r:id="rId1"/>
    <sheet name="Sheet5" sheetId="16" r:id="rId2"/>
    <sheet name="Sheet3" sheetId="15" r:id="rId3"/>
    <sheet name="Sheet2" sheetId="14" r:id="rId4"/>
    <sheet name="Sheet1" sheetId="13" r:id="rId5"/>
    <sheet name="3-5 p2" sheetId="12" r:id="rId6"/>
    <sheet name="3-5 p1" sheetId="11" r:id="rId7"/>
    <sheet name="Sheet4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E121" i="1"/>
  <c r="B120" i="1"/>
  <c r="E120" i="1"/>
  <c r="B119" i="1"/>
  <c r="E119" i="1"/>
  <c r="B118" i="1"/>
  <c r="E118" i="1"/>
  <c r="B117" i="1"/>
  <c r="E117" i="1"/>
  <c r="B110" i="1"/>
  <c r="E110" i="1"/>
  <c r="B111" i="1"/>
  <c r="E111" i="1"/>
  <c r="B112" i="1"/>
  <c r="E112" i="1"/>
  <c r="B109" i="1"/>
  <c r="E109" i="1"/>
  <c r="B113" i="1"/>
  <c r="E113" i="1"/>
  <c r="B108" i="1"/>
  <c r="E108" i="1"/>
  <c r="B114" i="1"/>
  <c r="E114" i="1"/>
  <c r="B115" i="1"/>
  <c r="E115" i="1"/>
  <c r="B107" i="1"/>
  <c r="E107" i="1"/>
  <c r="B116" i="1"/>
  <c r="E116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2" i="1"/>
  <c r="E93" i="1"/>
  <c r="E88" i="1"/>
  <c r="E84" i="1"/>
  <c r="E91" i="1"/>
  <c r="E87" i="1"/>
  <c r="E86" i="1"/>
  <c r="E90" i="1"/>
  <c r="E85" i="1"/>
  <c r="E89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3" i="1"/>
  <c r="E64" i="1"/>
  <c r="E62" i="1"/>
  <c r="E61" i="1"/>
  <c r="E49" i="1"/>
  <c r="E53" i="1"/>
  <c r="E51" i="1"/>
  <c r="E50" i="1"/>
  <c r="E52" i="1"/>
  <c r="E56" i="1"/>
  <c r="E55" i="1"/>
  <c r="E54" i="1"/>
  <c r="E48" i="1"/>
  <c r="E58" i="1"/>
  <c r="E57" i="1"/>
  <c r="E59" i="1"/>
  <c r="E60" i="1"/>
  <c r="E47" i="1"/>
  <c r="E46" i="1"/>
  <c r="Q29" i="15"/>
  <c r="Q12" i="15"/>
  <c r="Q30" i="15"/>
  <c r="Q10" i="15"/>
  <c r="Q31" i="15"/>
  <c r="Q3" i="15"/>
  <c r="Q25" i="15"/>
  <c r="Q8" i="15"/>
  <c r="Q20" i="15"/>
  <c r="Q5" i="15"/>
  <c r="Q28" i="15"/>
  <c r="Q19" i="15"/>
  <c r="Q40" i="15"/>
  <c r="Q2" i="15"/>
  <c r="Q17" i="15"/>
  <c r="Q13" i="15"/>
  <c r="Q7" i="15"/>
  <c r="Q39" i="15"/>
  <c r="Q34" i="15"/>
  <c r="Q6" i="15"/>
  <c r="Q15" i="15"/>
  <c r="Q33" i="15"/>
  <c r="Q21" i="15"/>
  <c r="Q23" i="15"/>
  <c r="Q4" i="15"/>
  <c r="Q9" i="15"/>
  <c r="Q32" i="15"/>
  <c r="Q38" i="15"/>
  <c r="Q11" i="15"/>
  <c r="Q22" i="15"/>
  <c r="Q37" i="15"/>
  <c r="Q18" i="15"/>
  <c r="Q35" i="15"/>
  <c r="Q36" i="15"/>
  <c r="Q16" i="15"/>
  <c r="Q24" i="15"/>
  <c r="Q27" i="15"/>
  <c r="Q14" i="15"/>
  <c r="Q41" i="15"/>
  <c r="Q26" i="15"/>
  <c r="C23" i="14"/>
  <c r="E41" i="1"/>
  <c r="E44" i="1"/>
  <c r="E45" i="1"/>
  <c r="E43" i="1"/>
  <c r="E42" i="1"/>
  <c r="E40" i="1"/>
  <c r="O14" i="14"/>
  <c r="O20" i="14"/>
  <c r="O2" i="14"/>
  <c r="O7" i="14"/>
  <c r="O12" i="14"/>
  <c r="O11" i="14"/>
  <c r="O4" i="14"/>
  <c r="O9" i="14"/>
  <c r="O13" i="14"/>
  <c r="O3" i="14"/>
  <c r="O19" i="14"/>
  <c r="O6" i="14"/>
  <c r="O16" i="14"/>
  <c r="O5" i="14"/>
  <c r="O15" i="14"/>
  <c r="O21" i="14"/>
  <c r="O18" i="14"/>
  <c r="O17" i="14"/>
  <c r="O8" i="14"/>
  <c r="O10" i="14"/>
  <c r="E39" i="1"/>
  <c r="E38" i="1"/>
  <c r="E37" i="1"/>
  <c r="E36" i="1"/>
  <c r="E32" i="1"/>
  <c r="E30" i="1"/>
  <c r="D24" i="13"/>
  <c r="E34" i="1"/>
  <c r="E33" i="1"/>
  <c r="E31" i="1"/>
  <c r="E29" i="1"/>
  <c r="E35" i="1"/>
  <c r="Q15" i="13"/>
  <c r="Q6" i="13"/>
  <c r="Q8" i="13"/>
  <c r="Q7" i="13"/>
  <c r="Q17" i="13"/>
  <c r="Q18" i="13"/>
  <c r="Q14" i="13"/>
  <c r="Q4" i="13"/>
  <c r="Q20" i="13"/>
  <c r="Q13" i="13"/>
  <c r="Q21" i="13"/>
  <c r="Q16" i="13"/>
  <c r="Q5" i="13"/>
  <c r="Q2" i="13"/>
  <c r="Q3" i="13"/>
  <c r="Q19" i="13"/>
  <c r="Q9" i="13"/>
  <c r="Q10" i="13"/>
  <c r="Q11" i="13"/>
  <c r="Q12" i="13"/>
  <c r="E28" i="1"/>
  <c r="E27" i="1"/>
  <c r="E26" i="1"/>
  <c r="E25" i="1"/>
  <c r="E24" i="1"/>
  <c r="Q11" i="12"/>
  <c r="Q16" i="12"/>
  <c r="Q2" i="12"/>
  <c r="Q6" i="12"/>
  <c r="Q12" i="12"/>
  <c r="Q14" i="12"/>
  <c r="Q3" i="12"/>
  <c r="Q18" i="12"/>
  <c r="Q19" i="12"/>
  <c r="Q10" i="12"/>
  <c r="Q4" i="12"/>
  <c r="Q13" i="12"/>
  <c r="Q15" i="12"/>
  <c r="Q7" i="12"/>
  <c r="Q5" i="12"/>
  <c r="Q8" i="12"/>
  <c r="Q17" i="12"/>
  <c r="Q21" i="12"/>
  <c r="Q9" i="12"/>
  <c r="Q20" i="12"/>
  <c r="Q5" i="11"/>
  <c r="Q17" i="11"/>
  <c r="Q2" i="11"/>
  <c r="Q7" i="11"/>
  <c r="Q13" i="11"/>
  <c r="Q14" i="11"/>
  <c r="Q3" i="11"/>
  <c r="Q11" i="11"/>
  <c r="Q18" i="11"/>
  <c r="Q4" i="11"/>
  <c r="Q6" i="11"/>
  <c r="Q19" i="11"/>
  <c r="Q15" i="11"/>
  <c r="Q16" i="11"/>
  <c r="Q10" i="11"/>
  <c r="Q12" i="11"/>
  <c r="Q20" i="11"/>
  <c r="Q9" i="11"/>
  <c r="Q8" i="11"/>
  <c r="Q21" i="1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Q24" i="10"/>
  <c r="Q5" i="10"/>
  <c r="Q2" i="10"/>
  <c r="Q17" i="10"/>
  <c r="Q3" i="10"/>
  <c r="Q19" i="10"/>
  <c r="Q6" i="10"/>
  <c r="Q7" i="10"/>
  <c r="Q23" i="10"/>
  <c r="Q9" i="10"/>
  <c r="Q4" i="10"/>
  <c r="Q18" i="10"/>
  <c r="Q21" i="10"/>
  <c r="Q29" i="10"/>
  <c r="Q14" i="10"/>
  <c r="Q20" i="10"/>
  <c r="Q16" i="10"/>
  <c r="Q13" i="10"/>
  <c r="Q11" i="10"/>
  <c r="Q27" i="10"/>
  <c r="Q28" i="10"/>
  <c r="Q15" i="10"/>
  <c r="Q12" i="10"/>
  <c r="Q10" i="10"/>
  <c r="Q26" i="10"/>
  <c r="Q25" i="10"/>
  <c r="Q22" i="10"/>
  <c r="Q8" i="10"/>
  <c r="E8" i="1"/>
  <c r="E7" i="1"/>
  <c r="E6" i="1"/>
  <c r="E5" i="1"/>
  <c r="E2" i="1"/>
  <c r="E3" i="1"/>
  <c r="E4" i="1"/>
  <c r="D122" i="1"/>
  <c r="E122" i="1" l="1"/>
  <c r="F122" i="1" s="1"/>
  <c r="G122" i="1" s="1"/>
</calcChain>
</file>

<file path=xl/sharedStrings.xml><?xml version="1.0" encoding="utf-8"?>
<sst xmlns="http://schemas.openxmlformats.org/spreadsheetml/2006/main" count="827" uniqueCount="341">
  <si>
    <t>Bet</t>
  </si>
  <si>
    <t>Wager</t>
  </si>
  <si>
    <t>Odds</t>
  </si>
  <si>
    <t>Won</t>
  </si>
  <si>
    <t>y</t>
  </si>
  <si>
    <t>n</t>
  </si>
  <si>
    <t>Amount Won</t>
  </si>
  <si>
    <t>Column1</t>
  </si>
  <si>
    <t>Texas Tech</t>
  </si>
  <si>
    <t>Cincinnati</t>
  </si>
  <si>
    <t>Date</t>
  </si>
  <si>
    <t>Norfolk St -5.5</t>
  </si>
  <si>
    <t>Kansas/Houston U132.5</t>
  </si>
  <si>
    <t>North Texas -6.5</t>
  </si>
  <si>
    <t>Howard +10.5</t>
  </si>
  <si>
    <t>Nicholls State ML</t>
  </si>
  <si>
    <t>Delaware State ML</t>
  </si>
  <si>
    <t>Home</t>
  </si>
  <si>
    <t>Away</t>
  </si>
  <si>
    <t>Sim Spread</t>
  </si>
  <si>
    <t>Sim Totals</t>
  </si>
  <si>
    <t>Sim Spread No Bart</t>
  </si>
  <si>
    <t>Sim Totals No Bart</t>
  </si>
  <si>
    <t>Texas A&amp;M</t>
  </si>
  <si>
    <t>Auburn</t>
  </si>
  <si>
    <t>Iowa St.</t>
  </si>
  <si>
    <t>BYU</t>
  </si>
  <si>
    <t>Arizona</t>
  </si>
  <si>
    <t>Arizona St.</t>
  </si>
  <si>
    <t>Purdue</t>
  </si>
  <si>
    <t>Rutgers</t>
  </si>
  <si>
    <t>Kentucky</t>
  </si>
  <si>
    <t>LSU</t>
  </si>
  <si>
    <t>Duquesne</t>
  </si>
  <si>
    <t>VCU</t>
  </si>
  <si>
    <t>Mississippi St.</t>
  </si>
  <si>
    <t>Texas</t>
  </si>
  <si>
    <t>South Carolina</t>
  </si>
  <si>
    <t>Georgia</t>
  </si>
  <si>
    <t>TCU</t>
  </si>
  <si>
    <t>Baylor</t>
  </si>
  <si>
    <t>Utah</t>
  </si>
  <si>
    <t>West Virginia</t>
  </si>
  <si>
    <t>Vanderbilt</t>
  </si>
  <si>
    <t>Arkansas</t>
  </si>
  <si>
    <t>Oregon</t>
  </si>
  <si>
    <t>Indiana</t>
  </si>
  <si>
    <t>Seton Hall</t>
  </si>
  <si>
    <t>Creighton</t>
  </si>
  <si>
    <t>Ohio St.</t>
  </si>
  <si>
    <t>Nebraska</t>
  </si>
  <si>
    <t>Nevada</t>
  </si>
  <si>
    <t>New Mexico</t>
  </si>
  <si>
    <t>Air Force</t>
  </si>
  <si>
    <t>Boise St.</t>
  </si>
  <si>
    <t>SMU</t>
  </si>
  <si>
    <t>Syracuse</t>
  </si>
  <si>
    <t>Virginia Tech</t>
  </si>
  <si>
    <t>North Carolina</t>
  </si>
  <si>
    <t>Georgetown</t>
  </si>
  <si>
    <t>Villanova</t>
  </si>
  <si>
    <t>UNLV</t>
  </si>
  <si>
    <t>San Diego St.</t>
  </si>
  <si>
    <t>Akron</t>
  </si>
  <si>
    <t>Home Spread</t>
  </si>
  <si>
    <t>Home Vegas Line</t>
  </si>
  <si>
    <t>Away Spread</t>
  </si>
  <si>
    <t>Away Vegas Line</t>
  </si>
  <si>
    <t>Proj Spread Home</t>
  </si>
  <si>
    <t>Proj Spread Away</t>
  </si>
  <si>
    <t>WP Home</t>
  </si>
  <si>
    <t>WP Away</t>
  </si>
  <si>
    <t>EV Home</t>
  </si>
  <si>
    <t>EV Away</t>
  </si>
  <si>
    <t>UTSA</t>
  </si>
  <si>
    <t>Memphis</t>
  </si>
  <si>
    <t>Dayton</t>
  </si>
  <si>
    <t>Saint Louis</t>
  </si>
  <si>
    <t>Virginia</t>
  </si>
  <si>
    <t>Florida St.</t>
  </si>
  <si>
    <t>Toledo</t>
  </si>
  <si>
    <t>Western Michigan</t>
  </si>
  <si>
    <t>Kent St.</t>
  </si>
  <si>
    <t>Ohio</t>
  </si>
  <si>
    <t>Eastern Michigan</t>
  </si>
  <si>
    <t>Bryant</t>
  </si>
  <si>
    <t>New Hampshire</t>
  </si>
  <si>
    <t>Tulsa</t>
  </si>
  <si>
    <t>Temple</t>
  </si>
  <si>
    <t>Georgia +1.5</t>
  </si>
  <si>
    <t>Max EV</t>
  </si>
  <si>
    <t>Akron -4.5</t>
  </si>
  <si>
    <t>Texas ML</t>
  </si>
  <si>
    <t>Texas +7.5</t>
  </si>
  <si>
    <t>LSU/Kentucky U156.5</t>
  </si>
  <si>
    <t>Auburn/Texas A&amp;M U151.5</t>
  </si>
  <si>
    <t>Georgetown +5.5</t>
  </si>
  <si>
    <t>ASU +18.5</t>
  </si>
  <si>
    <t>BYU +9.5</t>
  </si>
  <si>
    <t>Arkansas +7.5</t>
  </si>
  <si>
    <t>LSU +13.5</t>
  </si>
  <si>
    <t>Hit?</t>
  </si>
  <si>
    <t>Alabama</t>
  </si>
  <si>
    <t>Florida</t>
  </si>
  <si>
    <t>Mississippi</t>
  </si>
  <si>
    <t>Tennessee</t>
  </si>
  <si>
    <t>Colorado</t>
  </si>
  <si>
    <t>Oklahoma</t>
  </si>
  <si>
    <t>Missouri</t>
  </si>
  <si>
    <t>Michigan</t>
  </si>
  <si>
    <t>Maryland</t>
  </si>
  <si>
    <t>Minnesota</t>
  </si>
  <si>
    <t>Wisconsin</t>
  </si>
  <si>
    <t>Boston College</t>
  </si>
  <si>
    <t>Clemson</t>
  </si>
  <si>
    <t>Louisville</t>
  </si>
  <si>
    <t>California</t>
  </si>
  <si>
    <t>Connecticut</t>
  </si>
  <si>
    <t>Marquette</t>
  </si>
  <si>
    <t>Kansas St.</t>
  </si>
  <si>
    <t>Butler</t>
  </si>
  <si>
    <t>Xavier</t>
  </si>
  <si>
    <t>USC</t>
  </si>
  <si>
    <t>Washington</t>
  </si>
  <si>
    <t>N.C. State</t>
  </si>
  <si>
    <t>Pittsburgh</t>
  </si>
  <si>
    <t>George Mason</t>
  </si>
  <si>
    <t>La Salle</t>
  </si>
  <si>
    <t>Notre Dame</t>
  </si>
  <si>
    <t>Stanford</t>
  </si>
  <si>
    <t>Saint Joseph's</t>
  </si>
  <si>
    <t>Rhode Island</t>
  </si>
  <si>
    <t>UCF</t>
  </si>
  <si>
    <t>Oklahoma St.</t>
  </si>
  <si>
    <t>St. Bonaventure</t>
  </si>
  <si>
    <t>Massachusetts</t>
  </si>
  <si>
    <t>Providence</t>
  </si>
  <si>
    <t>DePaul</t>
  </si>
  <si>
    <t>Fordham</t>
  </si>
  <si>
    <t>George Washington</t>
  </si>
  <si>
    <t>Butler +3.5</t>
  </si>
  <si>
    <t>Kansas St +9.5</t>
  </si>
  <si>
    <t>Colorado +17.5</t>
  </si>
  <si>
    <t>Butler +1.5</t>
  </si>
  <si>
    <t>Boston College +13.5</t>
  </si>
  <si>
    <t>Florida +2.5</t>
  </si>
  <si>
    <t>Not great line moved away</t>
  </si>
  <si>
    <t>Not +EV</t>
  </si>
  <si>
    <t>Oklahoma +4.5</t>
  </si>
  <si>
    <t>Rhode Island +10.5</t>
  </si>
  <si>
    <t>George Mason -12.5</t>
  </si>
  <si>
    <t>Column2</t>
  </si>
  <si>
    <t>Notre Dame +1.5</t>
  </si>
  <si>
    <t>y - was ev when I played it</t>
  </si>
  <si>
    <t>Iowa</t>
  </si>
  <si>
    <t>Michigan St.</t>
  </si>
  <si>
    <t>UC San Diego</t>
  </si>
  <si>
    <t>Long Beach St.</t>
  </si>
  <si>
    <t>North Texas</t>
  </si>
  <si>
    <t>Charlotte</t>
  </si>
  <si>
    <t>Middle Tennessee</t>
  </si>
  <si>
    <t>Liberty</t>
  </si>
  <si>
    <t>UC Davis</t>
  </si>
  <si>
    <t>UC Irvine</t>
  </si>
  <si>
    <t>Grand Canyon</t>
  </si>
  <si>
    <t>Utah Tech</t>
  </si>
  <si>
    <t>Lipscomb</t>
  </si>
  <si>
    <t>Queens</t>
  </si>
  <si>
    <t>UAB</t>
  </si>
  <si>
    <t>Florida Atlantic</t>
  </si>
  <si>
    <t>Louisiana Tech</t>
  </si>
  <si>
    <t>New Mexico St.</t>
  </si>
  <si>
    <t>North Alabama</t>
  </si>
  <si>
    <t>Jacksonville</t>
  </si>
  <si>
    <t>UC Riverside</t>
  </si>
  <si>
    <t>Cal St. Northridge</t>
  </si>
  <si>
    <t>Abilene Christian</t>
  </si>
  <si>
    <t>Utah Valley</t>
  </si>
  <si>
    <t>Rice</t>
  </si>
  <si>
    <t>Wichita St.</t>
  </si>
  <si>
    <t>Southern Utah</t>
  </si>
  <si>
    <t>Seattle</t>
  </si>
  <si>
    <t>East Carolina</t>
  </si>
  <si>
    <t>Tulane</t>
  </si>
  <si>
    <t>Milwaukee</t>
  </si>
  <si>
    <t>Oakland</t>
  </si>
  <si>
    <t>Cal Baptist</t>
  </si>
  <si>
    <t>Tarleton St.</t>
  </si>
  <si>
    <t>Youngstown St.</t>
  </si>
  <si>
    <t>Purdue Fort Wayne</t>
  </si>
  <si>
    <t>Robert Morris</t>
  </si>
  <si>
    <t>Wright St.</t>
  </si>
  <si>
    <t>Cleveland St.</t>
  </si>
  <si>
    <t>Northern Kentucky</t>
  </si>
  <si>
    <t>Tulane +4.5</t>
  </si>
  <si>
    <t>Southern Utah +7.5</t>
  </si>
  <si>
    <t>North Texas -14.5</t>
  </si>
  <si>
    <t>Liberty +1.5</t>
  </si>
  <si>
    <t>Florida Atlantic +4.5</t>
  </si>
  <si>
    <t>got this +ev at -9.5</t>
  </si>
  <si>
    <t>couldn't get</t>
  </si>
  <si>
    <t>Florida Atlantic +5.5</t>
  </si>
  <si>
    <t>Mount St Marys +9.5</t>
  </si>
  <si>
    <t>Lipscomb -9.5</t>
  </si>
  <si>
    <t>Don’t double down on line movement</t>
  </si>
  <si>
    <t>Long Beach State +23.5</t>
  </si>
  <si>
    <t>Illinois</t>
  </si>
  <si>
    <t>Colorado St.</t>
  </si>
  <si>
    <t>South Florida</t>
  </si>
  <si>
    <t>Southern Illinois</t>
  </si>
  <si>
    <t>Drake</t>
  </si>
  <si>
    <t>High Point</t>
  </si>
  <si>
    <t>Gardner Webb</t>
  </si>
  <si>
    <t>Murray St.</t>
  </si>
  <si>
    <t>Bradley</t>
  </si>
  <si>
    <t>Buffalo</t>
  </si>
  <si>
    <t>South Dakota</t>
  </si>
  <si>
    <t>North Dakota St.</t>
  </si>
  <si>
    <t>Valparaiso</t>
  </si>
  <si>
    <t>Northern Iowa</t>
  </si>
  <si>
    <t>South Dakota St.</t>
  </si>
  <si>
    <t>North Dakota</t>
  </si>
  <si>
    <t>Illinois St.</t>
  </si>
  <si>
    <t>Belmont</t>
  </si>
  <si>
    <t>San Diego</t>
  </si>
  <si>
    <t>Loyola Marymount</t>
  </si>
  <si>
    <t>Old Dominion</t>
  </si>
  <si>
    <t>Appalachian St.</t>
  </si>
  <si>
    <t>Miami OH</t>
  </si>
  <si>
    <t>Ball St.</t>
  </si>
  <si>
    <t>Radford</t>
  </si>
  <si>
    <t>Presbyterian</t>
  </si>
  <si>
    <t>Marshall</t>
  </si>
  <si>
    <t>Georgia St.</t>
  </si>
  <si>
    <t>Colorado St +5.5</t>
  </si>
  <si>
    <t>UNLV +10.5</t>
  </si>
  <si>
    <t>Gardner-Webb +15.5</t>
  </si>
  <si>
    <t>NDSU -2.5</t>
  </si>
  <si>
    <t>SDSU -7.5</t>
  </si>
  <si>
    <t>Colorado St +6.5</t>
  </si>
  <si>
    <t>Home_Advantage</t>
  </si>
  <si>
    <t>Houston</t>
  </si>
  <si>
    <t>Duke</t>
  </si>
  <si>
    <t>Kansas</t>
  </si>
  <si>
    <t>Northwestern</t>
  </si>
  <si>
    <t>Penn St.</t>
  </si>
  <si>
    <t>St. John's</t>
  </si>
  <si>
    <t>UCLA</t>
  </si>
  <si>
    <t>Utah St.</t>
  </si>
  <si>
    <t>Western Kentucky</t>
  </si>
  <si>
    <t>Richmond</t>
  </si>
  <si>
    <t>UC Santa Barbara</t>
  </si>
  <si>
    <t>Brown</t>
  </si>
  <si>
    <t>Yale</t>
  </si>
  <si>
    <t>Wake Forest</t>
  </si>
  <si>
    <t>Georgia Tech</t>
  </si>
  <si>
    <t>Davidson</t>
  </si>
  <si>
    <t>Pepperdine</t>
  </si>
  <si>
    <t>Oregon St.</t>
  </si>
  <si>
    <t>Column3</t>
  </si>
  <si>
    <t>Arkansas -1.5</t>
  </si>
  <si>
    <t>Kentucky ML</t>
  </si>
  <si>
    <t>Kentucky +6.5</t>
  </si>
  <si>
    <t>Kanas State +5.5</t>
  </si>
  <si>
    <t>Air Force +22.5</t>
  </si>
  <si>
    <t>Providence +11.5</t>
  </si>
  <si>
    <t>LSU +7.5</t>
  </si>
  <si>
    <t>Virginia Tech +17.5</t>
  </si>
  <si>
    <t>Butler +10.5</t>
  </si>
  <si>
    <t>Ole Miss +12.5</t>
  </si>
  <si>
    <t>North Carolina +9.5</t>
  </si>
  <si>
    <t>USC +9.5</t>
  </si>
  <si>
    <t>Arizona St. _11.5</t>
  </si>
  <si>
    <t>Utah _11.5</t>
  </si>
  <si>
    <t>UC Davis +12.5</t>
  </si>
  <si>
    <t>Santa Clara</t>
  </si>
  <si>
    <t>Washington St.</t>
  </si>
  <si>
    <t>San Francisco</t>
  </si>
  <si>
    <t>Winthrop</t>
  </si>
  <si>
    <t>South Alabama</t>
  </si>
  <si>
    <t>Arkansas St.</t>
  </si>
  <si>
    <t>High Point -7.5</t>
  </si>
  <si>
    <t>Michigan ML and Spread</t>
  </si>
  <si>
    <t>Iowa +7.5</t>
  </si>
  <si>
    <t>Florida Atlantic -5.5</t>
  </si>
  <si>
    <t>Parlay</t>
  </si>
  <si>
    <t>Southern Alabama</t>
  </si>
  <si>
    <t>Montana -5.5</t>
  </si>
  <si>
    <t>Montana St. +1.5</t>
  </si>
  <si>
    <t>Montana St. ML</t>
  </si>
  <si>
    <t>San Francisco +14.5</t>
  </si>
  <si>
    <t>Colorado +1.5</t>
  </si>
  <si>
    <t>Colorado ML</t>
  </si>
  <si>
    <t>Virginia Tech +2.5</t>
  </si>
  <si>
    <t>Southern Alabama +4.5</t>
  </si>
  <si>
    <t>terrible beat, double OT where VT should've won in both reg and OT 1</t>
  </si>
  <si>
    <t>Maine +4.5</t>
  </si>
  <si>
    <t>Northwestern St +16.5</t>
  </si>
  <si>
    <t>Arizona St. +5.5</t>
  </si>
  <si>
    <t>Arizona St ML</t>
  </si>
  <si>
    <t>Montana St. +5.5</t>
  </si>
  <si>
    <t>Cincinnati +8.5</t>
  </si>
  <si>
    <t>Arkansas -4.5</t>
  </si>
  <si>
    <t>Notre Dame +10.5</t>
  </si>
  <si>
    <t>Kansas State +5.5</t>
  </si>
  <si>
    <t>Villanova -10.5</t>
  </si>
  <si>
    <t>Colorado +6.5</t>
  </si>
  <si>
    <t>USC -1.5</t>
  </si>
  <si>
    <t>tough beat</t>
  </si>
  <si>
    <t>close whole wau</t>
  </si>
  <si>
    <t>LSU +8.5</t>
  </si>
  <si>
    <t>Notre Dame and CIN ML</t>
  </si>
  <si>
    <t>UCSB -5.5</t>
  </si>
  <si>
    <t>Oklahoma + 3.5</t>
  </si>
  <si>
    <t>won by 5 exact :(</t>
  </si>
  <si>
    <t>Butler +12.5</t>
  </si>
  <si>
    <t>BYU +4.5</t>
  </si>
  <si>
    <t>Arkansas ML</t>
  </si>
  <si>
    <t>Arkansas +4.5</t>
  </si>
  <si>
    <t>Texas +6.5</t>
  </si>
  <si>
    <t>SDSU ML</t>
  </si>
  <si>
    <t>USC +10.5</t>
  </si>
  <si>
    <t>Villanova +6.5</t>
  </si>
  <si>
    <t>SMU + 7.5</t>
  </si>
  <si>
    <t>UNLV +7.5</t>
  </si>
  <si>
    <t>Oklahoma +6.5</t>
  </si>
  <si>
    <t>Stanford +10.5</t>
  </si>
  <si>
    <t>Tulane ML</t>
  </si>
  <si>
    <t>Tulane +3.5</t>
  </si>
  <si>
    <t>Akron -8.5</t>
  </si>
  <si>
    <t xml:space="preserve">Michigan ML </t>
  </si>
  <si>
    <t>Michigan +2.5</t>
  </si>
  <si>
    <t>Boise St. +1.5</t>
  </si>
  <si>
    <t>Boise St ML</t>
  </si>
  <si>
    <t>Marquette +4.5</t>
  </si>
  <si>
    <t>Saint Joes ML</t>
  </si>
  <si>
    <t>Creighton +3.5</t>
  </si>
  <si>
    <t>UCSB +11.5</t>
  </si>
  <si>
    <t>Missouri +9.5</t>
  </si>
  <si>
    <t>Kentucky +75</t>
  </si>
  <si>
    <t>BYU +6.5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</si>
</sst>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6C42EC-2313-4E0B-9B28-1B073832E052}" name="Table13658" displayName="Table13658" ref="A1:G122" totalsRowCount="1">
  <autoFilter ref="A1:G121" xr:uid="{DB6C42EC-2313-4E0B-9B28-1B073832E052}"/>
  <sortState xmlns:xlrd2="http://schemas.microsoft.com/office/spreadsheetml/2017/richdata2" ref="A81:G91">
    <sortCondition ref="F1:F91"/>
  </sortState>
  <tableColumns count="7">
    <tableColumn id="1" xr3:uid="{B4496B20-ED91-406A-831E-A563E1105EF3}" name="Bet"/>
    <tableColumn id="7" xr3:uid="{ADED7A2F-3084-46B8-ACD2-38991E5B6FF9}" name="Date" dataDxfId="13">
      <calculatedColumnFormula>TODAY()</calculatedColumnFormula>
    </tableColumn>
    <tableColumn id="2" xr3:uid="{67011750-44D6-4969-95B6-6AF66795F903}" name="Odds"/>
    <tableColumn id="3" xr3:uid="{E22B7771-A867-44C3-AB3C-2224F35A523E}" name="Wager" totalsRowFunction="sum"/>
    <tableColumn id="6" xr3:uid="{91491DE1-DAB8-45E5-8672-A6CBA31E4C77}" name="Amount Won" totalsRowFunction="sum" dataDxfId="12" totalsRowDxfId="11">
      <calculatedColumnFormula>IF(Table13658[[#This Row],[Won]]="y",IF(C2&gt;0, (C2/100)*D2 + Table13658[[#This Row],[Wager]], (100/ABS(C2))*D2 + Table13658[[#This Row],[Wager]]),0)</calculatedColumnFormula>
    </tableColumn>
    <tableColumn id="5" xr3:uid="{905919A8-B049-4716-8B31-B1F6998350D2}" name="Won" totalsRowFunction="custom" totalsRowDxfId="10">
      <totalsRowFormula>Table13658[[#Totals],[Amount Won]]-Table13658[[#Totals],[Wager]]</totalsRowFormula>
    </tableColumn>
    <tableColumn id="4" xr3:uid="{9FCC235F-D4EC-414D-BD82-FF97A06505AB}" name="Column1" totalsRowFunction="custom" totalsRowDxfId="9">
      <totalsRowFormula>Table13658[[#Totals],[Won]]/Table13658[[#Totals],[Wager]]</totalsRow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7AF615-A81B-49AB-8DC5-68B62C7ACDC0}" name="Table3" displayName="Table3" ref="A1:R41" totalsRowShown="0">
  <autoFilter ref="A1:R41" xr:uid="{127AF615-A81B-49AB-8DC5-68B62C7ACDC0}"/>
  <sortState xmlns:xlrd2="http://schemas.microsoft.com/office/spreadsheetml/2017/richdata2" ref="A2:Q41">
    <sortCondition descending="1" ref="Q1:Q41"/>
  </sortState>
  <tableColumns count="18">
    <tableColumn id="1" xr3:uid="{02A023CE-161B-4C9A-AD4B-358707F479B6}" name="Home"/>
    <tableColumn id="2" xr3:uid="{5B6A4735-AD14-46CF-8D86-37A4EE6CD138}" name="Away"/>
    <tableColumn id="3" xr3:uid="{FC901492-0E77-4EE6-8C74-9CF09435B381}" name="Home_Advantage"/>
    <tableColumn id="4" xr3:uid="{FCF43CA9-44F0-4209-BFD2-A135834CC668}" name="Sim Spread"/>
    <tableColumn id="5" xr3:uid="{E0C6B416-AAD7-4CD4-B8D1-D79204C85A44}" name="Sim Totals"/>
    <tableColumn id="6" xr3:uid="{E67A91C1-DDAC-4202-818F-59F39D76D7E2}" name="Sim Spread No Bart"/>
    <tableColumn id="7" xr3:uid="{A9E73198-A770-4166-A4D0-D1D75834096B}" name="Home Spread"/>
    <tableColumn id="8" xr3:uid="{897100EE-E0E7-40D3-B1F4-9DACB483003A}" name="Home Vegas Line"/>
    <tableColumn id="9" xr3:uid="{183950EC-7DF2-4146-8502-9C2BB7C09E32}" name="Away Spread"/>
    <tableColumn id="10" xr3:uid="{2B2CD170-BC34-4007-A765-CA87905F0D75}" name="Away Vegas Line"/>
    <tableColumn id="11" xr3:uid="{404D7F41-167D-462E-950E-E0630DC9BB79}" name="Proj Spread Home"/>
    <tableColumn id="12" xr3:uid="{B2862B05-3F32-4C73-955B-C6A9690A6B89}" name="Proj Spread Away"/>
    <tableColumn id="13" xr3:uid="{759771E8-5776-41E5-BF6B-944C06E037D9}" name="WP Home"/>
    <tableColumn id="14" xr3:uid="{00D1026B-32DB-4BB7-B673-CF9185A4AB67}" name="WP Away"/>
    <tableColumn id="15" xr3:uid="{A0289005-1C4F-460B-AF51-2B2EC26049E4}" name="EV Home"/>
    <tableColumn id="16" xr3:uid="{8EF64B72-502B-4E6B-9A18-2838247E1F09}" name="EV Away"/>
    <tableColumn id="18" xr3:uid="{3F5C9E98-2497-4F09-8CBE-BB87394208ED}" name="Column2" dataDxfId="8">
      <calculatedColumnFormula>MAX(Table3[[#This Row],[EV Home]:[EV Away]])</calculatedColumnFormula>
    </tableColumn>
    <tableColumn id="19" xr3:uid="{BA6307B0-4B36-41A6-B287-A0597743AAF2}" name="Column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69318F-DC3E-4FF4-82A1-3B3D4DA81A4F}" name="Table2" displayName="Table2" ref="A1:P21" totalsRowShown="0">
  <autoFilter ref="A1:P21" xr:uid="{6269318F-DC3E-4FF4-82A1-3B3D4DA81A4F}"/>
  <sortState xmlns:xlrd2="http://schemas.microsoft.com/office/spreadsheetml/2017/richdata2" ref="A2:O21">
    <sortCondition descending="1" ref="O1:O21"/>
  </sortState>
  <tableColumns count="16">
    <tableColumn id="1" xr3:uid="{A8494D3B-E79C-4C5F-A221-E0E9A3D7A669}" name="Home"/>
    <tableColumn id="2" xr3:uid="{438DF231-7D93-488F-9D96-B4FE8FA703DB}" name="Away"/>
    <tableColumn id="4" xr3:uid="{A5C9A075-B61A-437D-8A58-ACB6A81EFDC9}" name="Sim Spread"/>
    <tableColumn id="6" xr3:uid="{9368EB14-EE2D-4311-8467-12EECEED6F9C}" name="Sim Spread No Bart"/>
    <tableColumn id="7" xr3:uid="{74FC5F80-DF20-4532-A3F3-05762C69366C}" name="Home Spread"/>
    <tableColumn id="8" xr3:uid="{EB066EF7-38EA-4D7C-8673-C7E8815FCFFC}" name="Home Vegas Line"/>
    <tableColumn id="9" xr3:uid="{C07230E9-675E-4397-869D-3539ECD81E5F}" name="Away Spread"/>
    <tableColumn id="10" xr3:uid="{2C06A7CB-CD8C-4226-ABEB-2F38C5343D30}" name="Away Vegas Line"/>
    <tableColumn id="11" xr3:uid="{D4D68E13-25F7-4511-BDFD-98432A27C10D}" name="Proj Spread Home"/>
    <tableColumn id="12" xr3:uid="{4E7F3078-D893-4EC6-BC09-8C48933A8721}" name="Proj Spread Away"/>
    <tableColumn id="13" xr3:uid="{5BE5C3D5-71ED-4378-9F50-270CAD909A12}" name="WP Home"/>
    <tableColumn id="14" xr3:uid="{A824DAC4-948D-41BC-B69E-35FC71FE97D6}" name="WP Away"/>
    <tableColumn id="15" xr3:uid="{21BABA99-B93B-44E1-951F-7B13938763E6}" name="EV Home"/>
    <tableColumn id="16" xr3:uid="{64015164-440B-441D-A7EF-9A15DDC8EBE1}" name="EV Away"/>
    <tableColumn id="17" xr3:uid="{57A10F1E-A9D9-4512-88D3-273318173E4D}" name="Column1" dataDxfId="7">
      <calculatedColumnFormula>MAX(Table2[[#This Row],[EV Home]],Table2[[#This Row],[EV Away]])</calculatedColumnFormula>
    </tableColumn>
    <tableColumn id="3" xr3:uid="{6A667F11-603A-4BB4-827A-17D8FE856D37}" name="Column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F7DE1-9BB8-42B7-AADF-710F0949AADF}" name="Table1" displayName="Table1" ref="A1:R21" totalsRowShown="0">
  <autoFilter ref="A1:R21" xr:uid="{2A5F7DE1-9BB8-42B7-AADF-710F0949AADF}"/>
  <sortState xmlns:xlrd2="http://schemas.microsoft.com/office/spreadsheetml/2017/richdata2" ref="A2:Q21">
    <sortCondition descending="1" ref="Q1:Q21"/>
  </sortState>
  <tableColumns count="18">
    <tableColumn id="1" xr3:uid="{55D45423-3D95-45CF-8939-46DE8B566F08}" name="Home"/>
    <tableColumn id="2" xr3:uid="{42E4C54D-1C55-41B3-9D28-D81C6CFADBF5}" name="Away"/>
    <tableColumn id="3" xr3:uid="{B9857B2E-5FC4-4757-B355-984A11006A6E}" name="Sim Spread"/>
    <tableColumn id="4" xr3:uid="{C16FA901-844F-4759-B1E3-9DBBD9785C49}" name="Sim Totals"/>
    <tableColumn id="5" xr3:uid="{2DB46A93-7063-4356-ADF1-93BD62400EF1}" name="Sim Spread No Bart"/>
    <tableColumn id="6" xr3:uid="{318EDB42-00D1-42B2-A6DE-F017B70BC774}" name="Sim Totals No Bart"/>
    <tableColumn id="7" xr3:uid="{83CB30FA-6E17-4CB0-B168-E48E45922D57}" name="Home Spread"/>
    <tableColumn id="8" xr3:uid="{91CA3E0D-2B48-42B7-9905-EF68D66E33D7}" name="Home Vegas Line"/>
    <tableColumn id="9" xr3:uid="{13825D19-8781-4A4D-AFC8-03E7EA174B9F}" name="Away Spread"/>
    <tableColumn id="10" xr3:uid="{38F5FE3C-A355-4037-B16E-097C3DA91AC4}" name="Away Vegas Line"/>
    <tableColumn id="11" xr3:uid="{5FD213E2-CA6D-4A41-BB64-59AED84B6D1E}" name="Proj Spread Home"/>
    <tableColumn id="12" xr3:uid="{3A21C24C-6D6F-4DA8-940A-DCA248FFBD69}" name="Proj Spread Away"/>
    <tableColumn id="13" xr3:uid="{3F0BC665-96CF-4CD5-A79E-8B82DC7E0F60}" name="WP Home"/>
    <tableColumn id="14" xr3:uid="{97CE68FB-49CD-4A20-8EA0-28530DB40B65}" name="WP Away"/>
    <tableColumn id="15" xr3:uid="{B94A31FF-756D-41D4-B27C-CAE1FF2E6C54}" name="EV Home"/>
    <tableColumn id="16" xr3:uid="{1F8E612B-0240-49A4-ADDA-316F9BB70637}" name="EV Away"/>
    <tableColumn id="17" xr3:uid="{D530B90D-8CA5-4148-9B7B-0CAB9B0035E8}" name="Column1" dataDxfId="6">
      <calculatedColumnFormula>MAX(Table1[[#This Row],[EV Home]:[EV Away]])</calculatedColumnFormula>
    </tableColumn>
    <tableColumn id="18" xr3:uid="{70B632CC-C701-47FD-AE89-76E44FD0253D}" name="Column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DF0174-60AC-4675-91BE-954475B743EB}" name="Table11" displayName="Table11" ref="A1:R21" totalsRowShown="0">
  <autoFilter ref="A1:R21" xr:uid="{4CDF0174-60AC-4675-91BE-954475B743EB}"/>
  <sortState xmlns:xlrd2="http://schemas.microsoft.com/office/spreadsheetml/2017/richdata2" ref="A2:Q21">
    <sortCondition descending="1" ref="Q1:Q21"/>
  </sortState>
  <tableColumns count="18">
    <tableColumn id="1" xr3:uid="{42D6AAD7-EEB6-4C5D-95AB-D37DDF367484}" name="Home"/>
    <tableColumn id="2" xr3:uid="{D4F30CE8-CA45-4F9E-92C0-DBECB88023D7}" name="Away"/>
    <tableColumn id="3" xr3:uid="{6FF47427-82EA-44A4-925D-ECB0B8D06B06}" name="Sim Spread"/>
    <tableColumn id="4" xr3:uid="{F941BC65-9928-4016-8F27-67635A30927B}" name="Sim Totals"/>
    <tableColumn id="5" xr3:uid="{F8C2A067-24E7-42A5-9424-10643542E471}" name="Sim Spread No Bart"/>
    <tableColumn id="6" xr3:uid="{C6EC09AD-5B66-4CFB-B4E4-DF413AAE1BE8}" name="Sim Totals No Bart"/>
    <tableColumn id="7" xr3:uid="{3F9C4EAD-4BC4-4BC5-9B0C-83E6AA71900D}" name="Home Spread"/>
    <tableColumn id="11" xr3:uid="{5F12C470-C2AC-4CF8-BA92-6D05DB577A5E}" name="Proj Spread Home"/>
    <tableColumn id="8" xr3:uid="{4FC818D6-1E09-4047-9636-9F74771F708C}" name="Home Vegas Line"/>
    <tableColumn id="9" xr3:uid="{9FE6C39A-F35E-4C80-AF0B-436C4E0EC74D}" name="Away Spread"/>
    <tableColumn id="10" xr3:uid="{D0F51AC6-FF33-4EE6-85E6-13519BDFD569}" name="Away Vegas Line"/>
    <tableColumn id="12" xr3:uid="{52AB064D-825A-4EF7-BA2A-61C96A26691B}" name="Proj Spread Away"/>
    <tableColumn id="13" xr3:uid="{66EC2A51-AF00-4136-BE95-B7383FA0F287}" name="WP Home"/>
    <tableColumn id="14" xr3:uid="{A2740CA0-4D63-4738-A3A5-CF2EF53DFCCC}" name="WP Away"/>
    <tableColumn id="15" xr3:uid="{2B50C1A7-9370-4CD8-A102-5DE81BA1B7D8}" name="EV Home"/>
    <tableColumn id="16" xr3:uid="{CFB6C907-19F8-4861-8E68-FAAFE33E5680}" name="EV Away"/>
    <tableColumn id="17" xr3:uid="{69874515-C784-483E-A854-08EC6A2B635F}" name="Column1" dataDxfId="5">
      <calculatedColumnFormula>MAX(Table11[[#This Row],[EV Home]:[EV Away]])</calculatedColumnFormula>
    </tableColumn>
    <tableColumn id="18" xr3:uid="{DF0F3032-0986-4C2B-9AB2-7F6F648E53E3}" name="Column2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42D233-86D9-464F-BCB5-954535629833}" name="Table10" displayName="Table10" ref="A1:Q21" totalsRowShown="0">
  <autoFilter ref="A1:Q21" xr:uid="{4842D233-86D9-464F-BCB5-954535629833}"/>
  <sortState xmlns:xlrd2="http://schemas.microsoft.com/office/spreadsheetml/2017/richdata2" ref="A2:Q21">
    <sortCondition descending="1" ref="Q1:Q21"/>
  </sortState>
  <tableColumns count="17">
    <tableColumn id="1" xr3:uid="{41765401-40BD-4B59-B72D-1568267CA749}" name="Home"/>
    <tableColumn id="2" xr3:uid="{AC11B596-D48D-4189-81D3-ECEBA905D6D5}" name="Away"/>
    <tableColumn id="3" xr3:uid="{A1806F60-619B-4448-ACA6-522367370D7D}" name="Sim Spread"/>
    <tableColumn id="4" xr3:uid="{EF2171A5-2AE4-4BF5-8397-3E770EA34E0E}" name="Sim Totals"/>
    <tableColumn id="5" xr3:uid="{9C003814-BAEF-4709-876D-5BD51D65BFFD}" name="Sim Spread No Bart"/>
    <tableColumn id="6" xr3:uid="{2C8A5AFC-0D1D-45CC-A599-3B0A23333216}" name="Sim Totals No Bart"/>
    <tableColumn id="7" xr3:uid="{9761A131-E3E0-4640-BC15-61E1E4E05C29}" name="Home Spread"/>
    <tableColumn id="8" xr3:uid="{B51F512A-66E5-41B4-B5CF-B49F586E1FBA}" name="Home Vegas Line"/>
    <tableColumn id="9" xr3:uid="{AE4D0D29-A44D-4D8E-BA21-D2740F74296D}" name="Away Spread"/>
    <tableColumn id="10" xr3:uid="{B1542216-28BF-4C44-9719-5308B822D73F}" name="Away Vegas Line"/>
    <tableColumn id="11" xr3:uid="{D43B65DC-475E-495D-9E6B-983AFE009BCC}" name="Proj Spread Home"/>
    <tableColumn id="12" xr3:uid="{01CD661D-ADD7-42F9-9748-AC826A323482}" name="Proj Spread Away"/>
    <tableColumn id="13" xr3:uid="{C110EA47-C642-4590-B2A9-012F6F93427A}" name="WP Home"/>
    <tableColumn id="14" xr3:uid="{4ACFC8F9-02E4-47FC-B637-0576DBA6EDFB}" name="WP Away"/>
    <tableColumn id="15" xr3:uid="{001630FC-E93B-4A57-9830-DE85D9F1B959}" name="EV Home"/>
    <tableColumn id="16" xr3:uid="{0BF07ABA-7227-489F-A413-EBA7137D8911}" name="EV Away"/>
    <tableColumn id="17" xr3:uid="{68DD2EDD-CB50-4078-9BC2-6AF31091DE06}" name="Column1" dataDxfId="4">
      <calculatedColumnFormula>MAX(Table10[[#This Row],[EV Home]:[EV Away]])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7997A3-4E2B-4F3D-8154-D332AB76BF4B}" name="Table9" displayName="Table9" ref="A1:R29" totalsRowShown="0">
  <autoFilter ref="A1:R29" xr:uid="{F77997A3-4E2B-4F3D-8154-D332AB76BF4B}"/>
  <sortState xmlns:xlrd2="http://schemas.microsoft.com/office/spreadsheetml/2017/richdata2" ref="A2:R29">
    <sortCondition descending="1" ref="Q1:Q29"/>
  </sortState>
  <tableColumns count="18">
    <tableColumn id="1" xr3:uid="{FE4599F1-B754-4999-9F6F-80167591CD53}" name="Home"/>
    <tableColumn id="2" xr3:uid="{0D7EDCD7-B3D9-42CC-9BA8-493599301471}" name="Away"/>
    <tableColumn id="3" xr3:uid="{165FD7EC-BFCC-46AF-B17A-DC592868F00D}" name="Sim Spread"/>
    <tableColumn id="4" xr3:uid="{3D564382-B6A4-4324-98E8-A36FA28521BB}" name="Sim Totals"/>
    <tableColumn id="5" xr3:uid="{787882B7-3150-447D-B623-312E1F83AC4E}" name="Sim Spread No Bart"/>
    <tableColumn id="6" xr3:uid="{AAFEF814-2322-454A-9D1C-C3EB72007014}" name="Sim Totals No Bart"/>
    <tableColumn id="7" xr3:uid="{EFE6E5ED-2701-4768-9A66-629D6E86075A}" name="Home Spread"/>
    <tableColumn id="8" xr3:uid="{789F3E31-CEB5-4BBD-8D38-CD7D4D891E42}" name="Home Vegas Line"/>
    <tableColumn id="9" xr3:uid="{A1879098-540D-4BB0-926B-E2D608D20FFE}" name="Away Spread"/>
    <tableColumn id="10" xr3:uid="{F2479187-F61B-41A8-BB01-288B60A6C932}" name="Away Vegas Line"/>
    <tableColumn id="11" xr3:uid="{2E2B596E-23D4-4999-B251-BC212A227DA9}" name="Proj Spread Home"/>
    <tableColumn id="12" xr3:uid="{E8C4C151-41A7-43A3-8CBB-EB88BC6BFA00}" name="Proj Spread Away"/>
    <tableColumn id="13" xr3:uid="{15AC74ED-7DC9-4626-BE4E-F3DB02ED26CA}" name="WP Home"/>
    <tableColumn id="14" xr3:uid="{43F7D416-045C-4793-8372-43DD98372B80}" name="WP Away"/>
    <tableColumn id="15" xr3:uid="{8D176CC9-3DAB-4C96-A794-72A95CA03EDE}" name="EV Home"/>
    <tableColumn id="16" xr3:uid="{6A00C547-A3FE-426A-80E7-35FC61A84F17}" name="EV Away"/>
    <tableColumn id="17" xr3:uid="{AAA9DF4F-16C7-41AA-884E-714237D8BA33}" name="Max EV" dataDxfId="3">
      <calculatedColumnFormula>MAX(Table9[[#This Row],[EV Home]],Table9[[#This Row],[EV Away]])</calculatedColumnFormula>
    </tableColumn>
    <tableColumn id="18" xr3:uid="{7EB4175A-DB26-4AF4-879A-45F5D23D2FC8}" name="Hit?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6AAB-BBE2-463D-88C3-989065A66C24}">
  <dimension ref="A1:G122"/>
  <sheetViews>
    <sheetView tabSelected="1" zoomScale="78" workbookViewId="0">
      <selection activeCell="G75" sqref="A75:G75"/>
    </sheetView>
  </sheetViews>
  <sheetFormatPr defaultRowHeight="14.5" x14ac:dyDescent="0.35"/>
  <cols>
    <col min="1" max="1" width="27.453125" customWidth="1"/>
    <col min="2" max="2" width="10.54296875" bestFit="1" customWidth="1"/>
    <col min="3" max="3" width="7.54296875" customWidth="1"/>
    <col min="5" max="5" width="14.81640625" bestFit="1" customWidth="1"/>
    <col min="7" max="7" width="22.6328125" customWidth="1"/>
  </cols>
  <sheetData>
    <row r="1" spans="1:7" x14ac:dyDescent="0.35">
      <c r="A1" t="s">
        <v>0</v>
      </c>
      <c r="B1" t="s">
        <v>10</v>
      </c>
      <c r="C1" t="s">
        <v>2</v>
      </c>
      <c r="D1" t="s">
        <v>1</v>
      </c>
      <c r="E1" t="s">
        <v>6</v>
      </c>
      <c r="F1" t="s">
        <v>3</v>
      </c>
      <c r="G1" t="s">
        <v>7</v>
      </c>
    </row>
    <row r="2" spans="1:7" x14ac:dyDescent="0.35">
      <c r="A2" t="s">
        <v>11</v>
      </c>
      <c r="B2" s="3">
        <v>45719</v>
      </c>
      <c r="C2">
        <v>-110</v>
      </c>
      <c r="D2">
        <v>0</v>
      </c>
      <c r="E2" s="1">
        <f>IF(Table13658[[#This Row],[Won]]="y",IF(C2&gt;0, (C2/100)*D2 + Table13658[[#This Row],[Wager]], (100/ABS(C2))*D2 + Table13658[[#This Row],[Wager]]),0)</f>
        <v>0</v>
      </c>
      <c r="F2" t="s">
        <v>5</v>
      </c>
    </row>
    <row r="3" spans="1:7" x14ac:dyDescent="0.35">
      <c r="A3" t="s">
        <v>12</v>
      </c>
      <c r="B3" s="3">
        <v>45719</v>
      </c>
      <c r="C3">
        <v>-105</v>
      </c>
      <c r="D3">
        <v>2.5</v>
      </c>
      <c r="E3" s="1">
        <f>IF(Table13658[[#This Row],[Won]]="y",IF(C3&gt;0, (C3/100)*D3 + Table13658[[#This Row],[Wager]], (100/ABS(C3))*D3 + Table13658[[#This Row],[Wager]]),0)</f>
        <v>4.8809523809523814</v>
      </c>
      <c r="F3" t="s">
        <v>4</v>
      </c>
    </row>
    <row r="4" spans="1:7" x14ac:dyDescent="0.35">
      <c r="A4" t="s">
        <v>13</v>
      </c>
      <c r="B4" s="3">
        <v>45719</v>
      </c>
      <c r="C4">
        <v>-110</v>
      </c>
      <c r="D4">
        <v>5</v>
      </c>
      <c r="E4" s="1">
        <f>IF(Table13658[[#This Row],[Won]]="y",IF(C4&gt;0, (C4/100)*D4 + Table13658[[#This Row],[Wager]], (100/ABS(C4))*D4 + Table13658[[#This Row],[Wager]]),0)</f>
        <v>0</v>
      </c>
      <c r="F4" t="s">
        <v>5</v>
      </c>
    </row>
    <row r="5" spans="1:7" x14ac:dyDescent="0.35">
      <c r="A5" t="s">
        <v>14</v>
      </c>
      <c r="B5" s="3">
        <v>45719</v>
      </c>
      <c r="C5">
        <v>-105</v>
      </c>
      <c r="D5">
        <v>5</v>
      </c>
      <c r="E5" s="1">
        <f>IF(Table13658[[#This Row],[Won]]="y",IF(C5&gt;0, (C5/100)*D5 + Table13658[[#This Row],[Wager]], (100/ABS(C5))*D5 + Table13658[[#This Row],[Wager]]),0)</f>
        <v>9.7619047619047628</v>
      </c>
      <c r="F5" t="s">
        <v>4</v>
      </c>
    </row>
    <row r="6" spans="1:7" x14ac:dyDescent="0.35">
      <c r="A6" t="s">
        <v>15</v>
      </c>
      <c r="B6" s="3">
        <v>45719</v>
      </c>
      <c r="C6">
        <v>105</v>
      </c>
      <c r="D6">
        <v>5</v>
      </c>
      <c r="E6" s="1">
        <f>IF(Table13658[[#This Row],[Won]]="y",IF(C6&gt;0, (C6/100)*D6 + Table13658[[#This Row],[Wager]], (100/ABS(C6))*D6 + Table13658[[#This Row],[Wager]]),0)</f>
        <v>0</v>
      </c>
      <c r="F6" t="s">
        <v>5</v>
      </c>
    </row>
    <row r="7" spans="1:7" x14ac:dyDescent="0.35">
      <c r="A7" t="s">
        <v>16</v>
      </c>
      <c r="B7" s="3">
        <v>45719</v>
      </c>
      <c r="C7">
        <v>-105</v>
      </c>
      <c r="D7">
        <v>5</v>
      </c>
      <c r="E7" s="1">
        <f>IF(Table13658[[#This Row],[Won]]="y",IF(C7&gt;0, (C7/100)*D7 + Table13658[[#This Row],[Wager]], (100/ABS(C7))*D7 + Table13658[[#This Row],[Wager]]),0)</f>
        <v>0</v>
      </c>
      <c r="F7" t="s">
        <v>5</v>
      </c>
    </row>
    <row r="8" spans="1:7" x14ac:dyDescent="0.35">
      <c r="A8" t="s">
        <v>89</v>
      </c>
      <c r="B8" s="3">
        <v>45720</v>
      </c>
      <c r="C8">
        <v>-120</v>
      </c>
      <c r="D8">
        <v>5</v>
      </c>
      <c r="E8" s="1">
        <f>IF(Table13658[[#This Row],[Won]]="y",IF(C8&gt;0, (C8/100)*D8 + Table13658[[#This Row],[Wager]], (100/ABS(C8))*D8 + Table13658[[#This Row],[Wager]]),0)</f>
        <v>9.1666666666666679</v>
      </c>
      <c r="F8" t="s">
        <v>4</v>
      </c>
    </row>
    <row r="9" spans="1:7" x14ac:dyDescent="0.35">
      <c r="A9" t="s">
        <v>91</v>
      </c>
      <c r="B9" s="3">
        <v>45720</v>
      </c>
      <c r="C9">
        <v>-120</v>
      </c>
      <c r="D9">
        <v>5</v>
      </c>
      <c r="E9" s="1">
        <f>IF(Table13658[[#This Row],[Won]]="y",IF(C9&gt;0, (C9/100)*D9 + Table13658[[#This Row],[Wager]], (100/ABS(C9))*D9 + Table13658[[#This Row],[Wager]]),0)</f>
        <v>9.1666666666666679</v>
      </c>
      <c r="F9" t="s">
        <v>4</v>
      </c>
    </row>
    <row r="10" spans="1:7" x14ac:dyDescent="0.35">
      <c r="A10" t="s">
        <v>92</v>
      </c>
      <c r="B10" s="3">
        <v>45720</v>
      </c>
      <c r="C10">
        <v>250</v>
      </c>
      <c r="D10">
        <v>2</v>
      </c>
      <c r="E10" s="1">
        <f>IF(Table13658[[#This Row],[Won]]="y",IF(C10&gt;0, (C10/100)*D10 + Table13658[[#This Row],[Wager]], (100/ABS(C10))*D10 + Table13658[[#This Row],[Wager]]),0)</f>
        <v>7</v>
      </c>
      <c r="F10" t="s">
        <v>4</v>
      </c>
    </row>
    <row r="11" spans="1:7" x14ac:dyDescent="0.35">
      <c r="A11" t="s">
        <v>93</v>
      </c>
      <c r="B11" s="3">
        <v>45720</v>
      </c>
      <c r="C11">
        <v>-115</v>
      </c>
      <c r="D11">
        <v>3</v>
      </c>
      <c r="E11" s="1">
        <f>IF(Table13658[[#This Row],[Won]]="y",IF(C11&gt;0, (C11/100)*D11 + Table13658[[#This Row],[Wager]], (100/ABS(C11))*D11 + Table13658[[#This Row],[Wager]]),0)</f>
        <v>5.6086956521739131</v>
      </c>
      <c r="F11" t="s">
        <v>4</v>
      </c>
    </row>
    <row r="12" spans="1:7" x14ac:dyDescent="0.35">
      <c r="A12" t="s">
        <v>94</v>
      </c>
      <c r="B12" s="3">
        <v>45720</v>
      </c>
      <c r="C12">
        <v>-110</v>
      </c>
      <c r="D12">
        <v>5</v>
      </c>
      <c r="E12" s="1">
        <f>IF(Table13658[[#This Row],[Won]]="y",IF(C12&gt;0, (C12/100)*D12 + Table13658[[#This Row],[Wager]], (100/ABS(C12))*D12 + Table13658[[#This Row],[Wager]]),0)</f>
        <v>0</v>
      </c>
      <c r="F12" t="s">
        <v>5</v>
      </c>
    </row>
    <row r="13" spans="1:7" x14ac:dyDescent="0.35">
      <c r="A13" t="s">
        <v>95</v>
      </c>
      <c r="B13" s="3">
        <v>45720</v>
      </c>
      <c r="C13">
        <v>-115</v>
      </c>
      <c r="D13">
        <v>5</v>
      </c>
      <c r="E13" s="1">
        <f>IF(Table13658[[#This Row],[Won]]="y",IF(C13&gt;0, (C13/100)*D13 + Table13658[[#This Row],[Wager]], (100/ABS(C13))*D13 + Table13658[[#This Row],[Wager]]),0)</f>
        <v>0</v>
      </c>
      <c r="F13" t="s">
        <v>5</v>
      </c>
    </row>
    <row r="14" spans="1:7" x14ac:dyDescent="0.35">
      <c r="A14" t="s">
        <v>96</v>
      </c>
      <c r="B14" s="3">
        <v>45720</v>
      </c>
      <c r="C14">
        <v>-115</v>
      </c>
      <c r="D14">
        <v>5</v>
      </c>
      <c r="E14" s="1">
        <f>IF(Table13658[[#This Row],[Won]]="y",IF(C14&gt;0, (C14/100)*D14 + Table13658[[#This Row],[Wager]], (100/ABS(C14))*D14 + Table13658[[#This Row],[Wager]]),0)</f>
        <v>9.3478260869565215</v>
      </c>
      <c r="F14" t="s">
        <v>4</v>
      </c>
    </row>
    <row r="15" spans="1:7" x14ac:dyDescent="0.35">
      <c r="A15" t="s">
        <v>97</v>
      </c>
      <c r="B15" s="3">
        <v>45720</v>
      </c>
      <c r="C15">
        <v>-110</v>
      </c>
      <c r="D15">
        <v>5</v>
      </c>
      <c r="E15" s="1">
        <f>IF(Table13658[[#This Row],[Won]]="y",IF(C15&gt;0, (C15/100)*D15 + Table13658[[#This Row],[Wager]], (100/ABS(C15))*D15 + Table13658[[#This Row],[Wager]]),0)</f>
        <v>9.545454545454545</v>
      </c>
      <c r="F15" t="s">
        <v>4</v>
      </c>
    </row>
    <row r="16" spans="1:7" x14ac:dyDescent="0.35">
      <c r="A16" t="s">
        <v>98</v>
      </c>
      <c r="B16" s="3">
        <v>45720</v>
      </c>
      <c r="C16">
        <v>-105</v>
      </c>
      <c r="D16">
        <v>5</v>
      </c>
      <c r="E16" s="1">
        <f>IF(Table13658[[#This Row],[Won]]="y",IF(C16&gt;0, (C16/100)*D16 + Table13658[[#This Row],[Wager]], (100/ABS(C16))*D16 + Table13658[[#This Row],[Wager]]),0)</f>
        <v>9.7619047619047628</v>
      </c>
      <c r="F16" t="s">
        <v>4</v>
      </c>
    </row>
    <row r="17" spans="1:7" x14ac:dyDescent="0.35">
      <c r="A17" t="s">
        <v>99</v>
      </c>
      <c r="B17" s="3">
        <v>45720</v>
      </c>
      <c r="C17">
        <v>-120</v>
      </c>
      <c r="D17">
        <v>5</v>
      </c>
      <c r="E17" s="1">
        <f>IF(Table13658[[#This Row],[Won]]="y",IF(C17&gt;0, (C17/100)*D17 + Table13658[[#This Row],[Wager]], (100/ABS(C17))*D17 + Table13658[[#This Row],[Wager]]),0)</f>
        <v>9.1666666666666679</v>
      </c>
      <c r="F17" t="s">
        <v>4</v>
      </c>
    </row>
    <row r="18" spans="1:7" x14ac:dyDescent="0.35">
      <c r="A18" t="s">
        <v>100</v>
      </c>
      <c r="B18" s="3">
        <v>45720</v>
      </c>
      <c r="C18">
        <v>-110</v>
      </c>
      <c r="D18">
        <v>5</v>
      </c>
      <c r="E18" s="1">
        <f>IF(Table13658[[#This Row],[Won]]="y",IF(C18&gt;0, (C18/100)*D18 + Table13658[[#This Row],[Wager]], (100/ABS(C18))*D18 + Table13658[[#This Row],[Wager]]),0)</f>
        <v>0</v>
      </c>
      <c r="F18" t="s">
        <v>5</v>
      </c>
    </row>
    <row r="19" spans="1:7" x14ac:dyDescent="0.35">
      <c r="A19" t="s">
        <v>140</v>
      </c>
      <c r="B19" s="3">
        <v>45721</v>
      </c>
      <c r="C19">
        <v>100</v>
      </c>
      <c r="D19">
        <v>2.5</v>
      </c>
      <c r="E19" s="1">
        <f>IF(Table13658[[#This Row],[Won]]="y",IF(C19&gt;0, (C19/100)*D19 + Table13658[[#This Row],[Wager]], (100/ABS(C19))*D19 + Table13658[[#This Row],[Wager]]),0)</f>
        <v>0</v>
      </c>
      <c r="F19" t="s">
        <v>5</v>
      </c>
    </row>
    <row r="20" spans="1:7" x14ac:dyDescent="0.35">
      <c r="A20" t="s">
        <v>141</v>
      </c>
      <c r="B20" s="3">
        <v>45721</v>
      </c>
      <c r="C20">
        <v>-110</v>
      </c>
      <c r="D20">
        <v>5</v>
      </c>
      <c r="E20" s="1">
        <f>IF(Table13658[[#This Row],[Won]]="y",IF(C20&gt;0, (C20/100)*D20 + Table13658[[#This Row],[Wager]], (100/ABS(C20))*D20 + Table13658[[#This Row],[Wager]]),0)</f>
        <v>9.545454545454545</v>
      </c>
      <c r="F20" t="s">
        <v>4</v>
      </c>
    </row>
    <row r="21" spans="1:7" x14ac:dyDescent="0.35">
      <c r="A21" t="s">
        <v>142</v>
      </c>
      <c r="B21" s="3">
        <v>45721</v>
      </c>
      <c r="C21">
        <v>-110</v>
      </c>
      <c r="D21">
        <v>5</v>
      </c>
      <c r="E21" s="1">
        <f>IF(Table13658[[#This Row],[Won]]="y",IF(C21&gt;0, (C21/100)*D21 + Table13658[[#This Row],[Wager]], (100/ABS(C21))*D21 + Table13658[[#This Row],[Wager]]),0)</f>
        <v>9.545454545454545</v>
      </c>
      <c r="F21" t="s">
        <v>4</v>
      </c>
    </row>
    <row r="22" spans="1:7" x14ac:dyDescent="0.35">
      <c r="A22" t="s">
        <v>143</v>
      </c>
      <c r="B22" s="3">
        <v>45721</v>
      </c>
      <c r="C22">
        <v>100</v>
      </c>
      <c r="D22">
        <v>5</v>
      </c>
      <c r="E22" s="1">
        <f>IF(Table13658[[#This Row],[Won]]="y",IF(C22&gt;0, (C22/100)*D22 + Table13658[[#This Row],[Wager]], (100/ABS(C22))*D22 + Table13658[[#This Row],[Wager]]),0)</f>
        <v>0</v>
      </c>
      <c r="F22" t="s">
        <v>5</v>
      </c>
      <c r="G22" t="s">
        <v>147</v>
      </c>
    </row>
    <row r="23" spans="1:7" x14ac:dyDescent="0.35">
      <c r="A23" t="s">
        <v>144</v>
      </c>
      <c r="B23" s="3">
        <v>45721</v>
      </c>
      <c r="C23">
        <v>-105</v>
      </c>
      <c r="D23">
        <v>5</v>
      </c>
      <c r="E23" s="1">
        <f>IF(Table13658[[#This Row],[Won]]="y",IF(C23&gt;0, (C23/100)*D23 + Table13658[[#This Row],[Wager]], (100/ABS(C23))*D23 + Table13658[[#This Row],[Wager]]),0)</f>
        <v>9.7619047619047628</v>
      </c>
      <c r="F23" t="s">
        <v>4</v>
      </c>
      <c r="G23" t="s">
        <v>146</v>
      </c>
    </row>
    <row r="24" spans="1:7" x14ac:dyDescent="0.35">
      <c r="A24" t="s">
        <v>145</v>
      </c>
      <c r="B24" s="3">
        <v>45721</v>
      </c>
      <c r="C24">
        <v>-105</v>
      </c>
      <c r="D24">
        <v>5</v>
      </c>
      <c r="E24" s="1">
        <f>IF(Table13658[[#This Row],[Won]]="y",IF(C24&gt;0, (C24/100)*D24 + Table13658[[#This Row],[Wager]], (100/ABS(C24))*D24 + Table13658[[#This Row],[Wager]]),0)</f>
        <v>9.7619047619047628</v>
      </c>
      <c r="F24" t="s">
        <v>4</v>
      </c>
      <c r="G24" t="s">
        <v>147</v>
      </c>
    </row>
    <row r="25" spans="1:7" x14ac:dyDescent="0.35">
      <c r="A25" t="s">
        <v>148</v>
      </c>
      <c r="B25" s="3">
        <v>45721</v>
      </c>
      <c r="C25">
        <v>-110</v>
      </c>
      <c r="D25">
        <v>5</v>
      </c>
      <c r="E25" s="1">
        <f>IF(Table13658[[#This Row],[Won]]="y",IF(C25&gt;0, (C25/100)*D25 + Table13658[[#This Row],[Wager]], (100/ABS(C25))*D25 + Table13658[[#This Row],[Wager]]),0)</f>
        <v>9.545454545454545</v>
      </c>
      <c r="F25" t="s">
        <v>4</v>
      </c>
    </row>
    <row r="26" spans="1:7" x14ac:dyDescent="0.35">
      <c r="A26" t="s">
        <v>149</v>
      </c>
      <c r="B26" s="3">
        <v>45721</v>
      </c>
      <c r="C26">
        <v>-104</v>
      </c>
      <c r="D26">
        <v>5</v>
      </c>
      <c r="E26" s="1">
        <f>IF(Table13658[[#This Row],[Won]]="y",IF(C26&gt;0, (C26/100)*D26 + Table13658[[#This Row],[Wager]], (100/ABS(C26))*D26 + Table13658[[#This Row],[Wager]]),0)</f>
        <v>0</v>
      </c>
      <c r="F26" t="s">
        <v>5</v>
      </c>
    </row>
    <row r="27" spans="1:7" x14ac:dyDescent="0.35">
      <c r="A27" t="s">
        <v>150</v>
      </c>
      <c r="B27" s="3">
        <v>45721</v>
      </c>
      <c r="C27">
        <v>-104</v>
      </c>
      <c r="D27">
        <v>3.32</v>
      </c>
      <c r="E27" s="1">
        <f>IF(Table13658[[#This Row],[Won]]="y",IF(C27&gt;0, (C27/100)*D27 + Table13658[[#This Row],[Wager]], (100/ABS(C27))*D27 + Table13658[[#This Row],[Wager]]),0)</f>
        <v>0</v>
      </c>
      <c r="F27" t="s">
        <v>5</v>
      </c>
    </row>
    <row r="28" spans="1:7" x14ac:dyDescent="0.35">
      <c r="A28" t="s">
        <v>152</v>
      </c>
      <c r="B28" s="3">
        <v>45721</v>
      </c>
      <c r="C28">
        <v>-115</v>
      </c>
      <c r="D28">
        <v>5</v>
      </c>
      <c r="E28" s="1">
        <f>IF(Table13658[[#This Row],[Won]]="y",IF(C28&gt;0, (C28/100)*D28 + Table13658[[#This Row],[Wager]], (100/ABS(C28))*D28 + Table13658[[#This Row],[Wager]]),0)</f>
        <v>9.3478260869565215</v>
      </c>
      <c r="F28" t="s">
        <v>4</v>
      </c>
    </row>
    <row r="29" spans="1:7" x14ac:dyDescent="0.35">
      <c r="A29" t="s">
        <v>198</v>
      </c>
      <c r="B29" s="3">
        <v>45722</v>
      </c>
      <c r="C29">
        <v>100</v>
      </c>
      <c r="D29">
        <v>5</v>
      </c>
      <c r="E29" s="1">
        <f>IF(Table13658[[#This Row],[Won]]="y",IF(C29&gt;0, (C29/100)*D29 + Table13658[[#This Row],[Wager]], (100/ABS(C29))*D29 + Table13658[[#This Row],[Wager]]),0)</f>
        <v>0</v>
      </c>
      <c r="F29" t="s">
        <v>5</v>
      </c>
      <c r="G29" t="s">
        <v>204</v>
      </c>
    </row>
    <row r="30" spans="1:7" x14ac:dyDescent="0.35">
      <c r="A30" t="s">
        <v>201</v>
      </c>
      <c r="B30" s="3">
        <v>45722</v>
      </c>
      <c r="C30">
        <v>-110</v>
      </c>
      <c r="D30">
        <v>2.5</v>
      </c>
      <c r="E30" s="1">
        <f>IF(Table13658[[#This Row],[Won]]="y",IF(C30&gt;0, (C30/100)*D30 + Table13658[[#This Row],[Wager]], (100/ABS(C30))*D30 + Table13658[[#This Row],[Wager]]),0)</f>
        <v>0</v>
      </c>
      <c r="F30" t="s">
        <v>5</v>
      </c>
      <c r="G30" t="s">
        <v>204</v>
      </c>
    </row>
    <row r="31" spans="1:7" x14ac:dyDescent="0.35">
      <c r="A31" t="s">
        <v>197</v>
      </c>
      <c r="B31" s="3">
        <v>45722</v>
      </c>
      <c r="C31">
        <v>-115</v>
      </c>
      <c r="D31">
        <v>5</v>
      </c>
      <c r="E31" s="1">
        <f>IF(Table13658[[#This Row],[Won]]="y",IF(C31&gt;0, (C31/100)*D31 + Table13658[[#This Row],[Wager]], (100/ABS(C31))*D31 + Table13658[[#This Row],[Wager]]),0)</f>
        <v>9.3478260869565215</v>
      </c>
      <c r="F31" t="s">
        <v>4</v>
      </c>
    </row>
    <row r="32" spans="1:7" x14ac:dyDescent="0.35">
      <c r="A32" t="s">
        <v>197</v>
      </c>
      <c r="B32" s="3">
        <v>45722</v>
      </c>
      <c r="C32">
        <v>-110</v>
      </c>
      <c r="D32">
        <v>2.5</v>
      </c>
      <c r="E32" s="1">
        <f>IF(Table13658[[#This Row],[Won]]="y",IF(C32&gt;0, (C32/100)*D32 + Table13658[[#This Row],[Wager]], (100/ABS(C32))*D32 + Table13658[[#This Row],[Wager]]),0)</f>
        <v>4.7727272727272725</v>
      </c>
      <c r="F32" t="s">
        <v>4</v>
      </c>
    </row>
    <row r="33" spans="1:7" x14ac:dyDescent="0.35">
      <c r="A33" t="s">
        <v>196</v>
      </c>
      <c r="B33" s="3">
        <v>45722</v>
      </c>
      <c r="C33">
        <v>100</v>
      </c>
      <c r="D33">
        <v>5</v>
      </c>
      <c r="E33" s="1">
        <f>IF(Table13658[[#This Row],[Won]]="y",IF(C33&gt;0, (C33/100)*D33 + Table13658[[#This Row],[Wager]], (100/ABS(C33))*D33 + Table13658[[#This Row],[Wager]]),0)</f>
        <v>0</v>
      </c>
      <c r="F33" t="s">
        <v>5</v>
      </c>
    </row>
    <row r="34" spans="1:7" x14ac:dyDescent="0.35">
      <c r="A34" t="s">
        <v>195</v>
      </c>
      <c r="B34" s="3">
        <v>45722</v>
      </c>
      <c r="C34">
        <v>-115</v>
      </c>
      <c r="D34">
        <v>5</v>
      </c>
      <c r="E34" s="1">
        <f>IF(Table13658[[#This Row],[Won]]="y",IF(C34&gt;0, (C34/100)*D34 + Table13658[[#This Row],[Wager]], (100/ABS(C34))*D34 + Table13658[[#This Row],[Wager]]),0)</f>
        <v>0</v>
      </c>
      <c r="F34" t="s">
        <v>5</v>
      </c>
    </row>
    <row r="35" spans="1:7" x14ac:dyDescent="0.35">
      <c r="A35" t="s">
        <v>194</v>
      </c>
      <c r="B35" s="3">
        <v>45722</v>
      </c>
      <c r="C35">
        <v>-118</v>
      </c>
      <c r="D35">
        <v>5</v>
      </c>
      <c r="E35" s="1">
        <f>IF(Table13658[[#This Row],[Won]]="y",IF(C35&gt;0, (C35/100)*D35 + Table13658[[#This Row],[Wager]], (100/ABS(C35))*D35 + Table13658[[#This Row],[Wager]]),0)</f>
        <v>0</v>
      </c>
      <c r="F35" t="s">
        <v>5</v>
      </c>
      <c r="G35" t="s">
        <v>204</v>
      </c>
    </row>
    <row r="36" spans="1:7" x14ac:dyDescent="0.35">
      <c r="A36" t="s">
        <v>194</v>
      </c>
      <c r="B36" s="3">
        <v>45722</v>
      </c>
      <c r="C36">
        <v>100</v>
      </c>
      <c r="D36">
        <v>4.6100000000000003</v>
      </c>
      <c r="E36" s="1">
        <f>IF(Table13658[[#This Row],[Won]]="y",IF(C36&gt;0, (C36/100)*D36 + Table13658[[#This Row],[Wager]], (100/ABS(C36))*D36 + Table13658[[#This Row],[Wager]]),0)</f>
        <v>0</v>
      </c>
      <c r="F36" t="s">
        <v>5</v>
      </c>
      <c r="G36" t="s">
        <v>204</v>
      </c>
    </row>
    <row r="37" spans="1:7" x14ac:dyDescent="0.35">
      <c r="A37" t="s">
        <v>202</v>
      </c>
      <c r="B37" s="3">
        <v>45722</v>
      </c>
      <c r="C37">
        <v>-110</v>
      </c>
      <c r="D37">
        <v>2.5</v>
      </c>
      <c r="E37" s="1">
        <f>IF(Table13658[[#This Row],[Won]]="y",IF(C37&gt;0, (C37/100)*D37 + Table13658[[#This Row],[Wager]], (100/ABS(C37))*D37 + Table13658[[#This Row],[Wager]]),0)</f>
        <v>4.7727272727272725</v>
      </c>
      <c r="F37" t="s">
        <v>4</v>
      </c>
    </row>
    <row r="38" spans="1:7" x14ac:dyDescent="0.35">
      <c r="A38" t="s">
        <v>203</v>
      </c>
      <c r="B38" s="3">
        <v>45722</v>
      </c>
      <c r="C38">
        <v>-110</v>
      </c>
      <c r="D38">
        <v>5</v>
      </c>
      <c r="E38" s="1">
        <f>IF(Table13658[[#This Row],[Won]]="y",IF(C38&gt;0, (C38/100)*D38 + Table13658[[#This Row],[Wager]], (100/ABS(C38))*D38 + Table13658[[#This Row],[Wager]]),0)</f>
        <v>0</v>
      </c>
      <c r="F38" t="s">
        <v>5</v>
      </c>
    </row>
    <row r="39" spans="1:7" x14ac:dyDescent="0.35">
      <c r="A39" t="s">
        <v>205</v>
      </c>
      <c r="B39" s="3">
        <v>45722</v>
      </c>
      <c r="C39">
        <v>-110</v>
      </c>
      <c r="D39">
        <v>5</v>
      </c>
      <c r="E39" s="1">
        <f>IF(Table13658[[#This Row],[Won]]="y",IF(C39&gt;0, (C39/100)*D39 + Table13658[[#This Row],[Wager]], (100/ABS(C39))*D39 + Table13658[[#This Row],[Wager]]),0)</f>
        <v>9.545454545454545</v>
      </c>
      <c r="F39" t="s">
        <v>4</v>
      </c>
    </row>
    <row r="40" spans="1:7" x14ac:dyDescent="0.35">
      <c r="A40" t="s">
        <v>234</v>
      </c>
      <c r="B40" s="3">
        <v>45723</v>
      </c>
      <c r="C40">
        <v>-110</v>
      </c>
      <c r="D40">
        <v>5</v>
      </c>
      <c r="E40" s="1">
        <f>IF(Table13658[[#This Row],[Won]]="y",IF(C40&gt;0, (C40/100)*D40 + Table13658[[#This Row],[Wager]], (100/ABS(C40))*D40 + Table13658[[#This Row],[Wager]]),0)</f>
        <v>9.545454545454545</v>
      </c>
      <c r="F40" t="s">
        <v>4</v>
      </c>
    </row>
    <row r="41" spans="1:7" x14ac:dyDescent="0.35">
      <c r="A41" t="s">
        <v>239</v>
      </c>
      <c r="B41" s="3">
        <v>45723</v>
      </c>
      <c r="C41">
        <v>-110</v>
      </c>
      <c r="D41">
        <v>5</v>
      </c>
      <c r="E41" s="1">
        <f>IF(Table13658[[#This Row],[Won]]="y",IF(C41&gt;0, (C41/100)*D41 + Table13658[[#This Row],[Wager]], (100/ABS(C41))*D41 + Table13658[[#This Row],[Wager]]),0)</f>
        <v>9.545454545454545</v>
      </c>
      <c r="F41" t="s">
        <v>4</v>
      </c>
    </row>
    <row r="42" spans="1:7" x14ac:dyDescent="0.35">
      <c r="A42" t="s">
        <v>235</v>
      </c>
      <c r="B42" s="3">
        <v>45723</v>
      </c>
      <c r="C42">
        <v>-105</v>
      </c>
      <c r="D42">
        <v>5</v>
      </c>
      <c r="E42" s="1">
        <f>IF(Table13658[[#This Row],[Won]]="y",IF(C42&gt;0, (C42/100)*D42 + Table13658[[#This Row],[Wager]], (100/ABS(C42))*D42 + Table13658[[#This Row],[Wager]]),0)</f>
        <v>0</v>
      </c>
      <c r="F42" t="s">
        <v>5</v>
      </c>
    </row>
    <row r="43" spans="1:7" x14ac:dyDescent="0.35">
      <c r="A43" t="s">
        <v>236</v>
      </c>
      <c r="B43" s="3">
        <v>45723</v>
      </c>
      <c r="C43">
        <v>-120</v>
      </c>
      <c r="D43">
        <v>5</v>
      </c>
      <c r="E43" s="1">
        <f>IF(Table13658[[#This Row],[Won]]="y",IF(C43&gt;0, (C43/100)*D43 + Table13658[[#This Row],[Wager]], (100/ABS(C43))*D43 + Table13658[[#This Row],[Wager]]),0)</f>
        <v>0</v>
      </c>
      <c r="F43" t="s">
        <v>5</v>
      </c>
    </row>
    <row r="44" spans="1:7" x14ac:dyDescent="0.35">
      <c r="A44" t="s">
        <v>237</v>
      </c>
      <c r="B44" s="3">
        <v>45723</v>
      </c>
      <c r="C44">
        <v>-110</v>
      </c>
      <c r="D44">
        <v>5</v>
      </c>
      <c r="E44" s="1">
        <f>IF(Table13658[[#This Row],[Won]]="y",IF(C44&gt;0, (C44/100)*D44 + Table13658[[#This Row],[Wager]], (100/ABS(C44))*D44 + Table13658[[#This Row],[Wager]]),0)</f>
        <v>0</v>
      </c>
      <c r="F44" t="s">
        <v>5</v>
      </c>
    </row>
    <row r="45" spans="1:7" x14ac:dyDescent="0.35">
      <c r="A45" t="s">
        <v>238</v>
      </c>
      <c r="B45" s="3">
        <v>45723</v>
      </c>
      <c r="C45">
        <v>-120</v>
      </c>
      <c r="D45">
        <v>5</v>
      </c>
      <c r="E45" s="1">
        <f>IF(Table13658[[#This Row],[Won]]="y",IF(C45&gt;0, (C45/100)*D45 + Table13658[[#This Row],[Wager]], (100/ABS(C45))*D45 + Table13658[[#This Row],[Wager]]),0)</f>
        <v>0</v>
      </c>
      <c r="F45" t="s">
        <v>5</v>
      </c>
    </row>
    <row r="46" spans="1:7" x14ac:dyDescent="0.35">
      <c r="A46" t="s">
        <v>260</v>
      </c>
      <c r="B46" s="3">
        <v>45724</v>
      </c>
      <c r="C46">
        <v>-110</v>
      </c>
      <c r="D46">
        <v>5</v>
      </c>
      <c r="E46" s="1">
        <f>IF(Table13658[[#This Row],[Won]]="y",IF(C46&gt;0, (C46/100)*D46 + Table13658[[#This Row],[Wager]], (100/ABS(C46))*D46 + Table13658[[#This Row],[Wager]]),0)</f>
        <v>0</v>
      </c>
      <c r="F46" t="s">
        <v>5</v>
      </c>
    </row>
    <row r="47" spans="1:7" x14ac:dyDescent="0.35">
      <c r="A47" t="s">
        <v>261</v>
      </c>
      <c r="B47" s="3">
        <v>45724</v>
      </c>
      <c r="C47">
        <v>220</v>
      </c>
      <c r="D47">
        <v>2</v>
      </c>
      <c r="E47" s="1">
        <f>IF(Table13658[[#This Row],[Won]]="y",IF(C47&gt;0, (C47/100)*D47 + Table13658[[#This Row],[Wager]], (100/ABS(C47))*D47 + Table13658[[#This Row],[Wager]]),0)</f>
        <v>6.4</v>
      </c>
      <c r="F47" t="s">
        <v>4</v>
      </c>
    </row>
    <row r="48" spans="1:7" x14ac:dyDescent="0.35">
      <c r="A48" t="s">
        <v>262</v>
      </c>
      <c r="B48" s="3">
        <v>45724</v>
      </c>
      <c r="C48">
        <v>-110</v>
      </c>
      <c r="D48">
        <v>5</v>
      </c>
      <c r="E48" s="1">
        <f>IF(Table13658[[#This Row],[Won]]="y",IF(C48&gt;0, (C48/100)*D48 + Table13658[[#This Row],[Wager]], (100/ABS(C48))*D48 + Table13658[[#This Row],[Wager]]),0)</f>
        <v>9.545454545454545</v>
      </c>
      <c r="F48" t="s">
        <v>4</v>
      </c>
    </row>
    <row r="49" spans="1:6" x14ac:dyDescent="0.35">
      <c r="A49" t="s">
        <v>263</v>
      </c>
      <c r="B49" s="3">
        <v>45724</v>
      </c>
      <c r="C49">
        <v>-110</v>
      </c>
      <c r="D49">
        <v>5</v>
      </c>
      <c r="E49" s="1">
        <f>IF(Table13658[[#This Row],[Won]]="y",IF(C49&gt;0, (C49/100)*D49 + Table13658[[#This Row],[Wager]], (100/ABS(C49))*D49 + Table13658[[#This Row],[Wager]]),0)</f>
        <v>0</v>
      </c>
      <c r="F49" t="s">
        <v>5</v>
      </c>
    </row>
    <row r="50" spans="1:6" x14ac:dyDescent="0.35">
      <c r="A50" t="s">
        <v>264</v>
      </c>
      <c r="B50" s="3">
        <v>45724</v>
      </c>
      <c r="C50">
        <v>-110</v>
      </c>
      <c r="D50">
        <v>2</v>
      </c>
      <c r="E50" s="1">
        <f>IF(Table13658[[#This Row],[Won]]="y",IF(C50&gt;0, (C50/100)*D50 + Table13658[[#This Row],[Wager]], (100/ABS(C50))*D50 + Table13658[[#This Row],[Wager]]),0)</f>
        <v>0</v>
      </c>
      <c r="F50" t="s">
        <v>5</v>
      </c>
    </row>
    <row r="51" spans="1:6" x14ac:dyDescent="0.35">
      <c r="A51" t="s">
        <v>265</v>
      </c>
      <c r="B51" s="3">
        <v>45724</v>
      </c>
      <c r="C51">
        <v>-105</v>
      </c>
      <c r="D51">
        <v>5</v>
      </c>
      <c r="E51" s="1">
        <f>IF(Table13658[[#This Row],[Won]]="y",IF(C51&gt;0, (C51/100)*D51 + Table13658[[#This Row],[Wager]], (100/ABS(C51))*D51 + Table13658[[#This Row],[Wager]]),0)</f>
        <v>9.7619047619047628</v>
      </c>
      <c r="F51" t="s">
        <v>4</v>
      </c>
    </row>
    <row r="52" spans="1:6" x14ac:dyDescent="0.35">
      <c r="A52" t="s">
        <v>266</v>
      </c>
      <c r="B52" s="3">
        <v>45724</v>
      </c>
      <c r="C52">
        <v>-110</v>
      </c>
      <c r="D52">
        <v>5</v>
      </c>
      <c r="E52" s="1">
        <f>IF(Table13658[[#This Row],[Won]]="y",IF(C52&gt;0, (C52/100)*D52 + Table13658[[#This Row],[Wager]], (100/ABS(C52))*D52 + Table13658[[#This Row],[Wager]]),0)</f>
        <v>0</v>
      </c>
      <c r="F52" t="s">
        <v>5</v>
      </c>
    </row>
    <row r="53" spans="1:6" x14ac:dyDescent="0.35">
      <c r="A53" t="s">
        <v>267</v>
      </c>
      <c r="B53" s="3">
        <v>45724</v>
      </c>
      <c r="C53">
        <v>-115</v>
      </c>
      <c r="D53">
        <v>5</v>
      </c>
      <c r="E53" s="1">
        <f>IF(Table13658[[#This Row],[Won]]="y",IF(C53&gt;0, (C53/100)*D53 + Table13658[[#This Row],[Wager]], (100/ABS(C53))*D53 + Table13658[[#This Row],[Wager]]),0)</f>
        <v>0</v>
      </c>
      <c r="F53" t="s">
        <v>5</v>
      </c>
    </row>
    <row r="54" spans="1:6" x14ac:dyDescent="0.35">
      <c r="A54" t="s">
        <v>268</v>
      </c>
      <c r="B54" s="3">
        <v>45724</v>
      </c>
      <c r="C54">
        <v>-110</v>
      </c>
      <c r="D54">
        <v>5</v>
      </c>
      <c r="E54" s="1">
        <f>IF(Table13658[[#This Row],[Won]]="y",IF(C54&gt;0, (C54/100)*D54 + Table13658[[#This Row],[Wager]], (100/ABS(C54))*D54 + Table13658[[#This Row],[Wager]]),0)</f>
        <v>0</v>
      </c>
      <c r="F54" t="s">
        <v>5</v>
      </c>
    </row>
    <row r="55" spans="1:6" x14ac:dyDescent="0.35">
      <c r="A55" t="s">
        <v>269</v>
      </c>
      <c r="B55" s="3">
        <v>45724</v>
      </c>
      <c r="C55">
        <v>-110</v>
      </c>
      <c r="D55">
        <v>5</v>
      </c>
      <c r="E55" s="1">
        <f>IF(Table13658[[#This Row],[Won]]="y",IF(C55&gt;0, (C55/100)*D55 + Table13658[[#This Row],[Wager]], (100/ABS(C55))*D55 + Table13658[[#This Row],[Wager]]),0)</f>
        <v>0</v>
      </c>
      <c r="F55" t="s">
        <v>5</v>
      </c>
    </row>
    <row r="56" spans="1:6" x14ac:dyDescent="0.35">
      <c r="A56" t="s">
        <v>270</v>
      </c>
      <c r="B56" s="3">
        <v>45724</v>
      </c>
      <c r="C56">
        <v>-105</v>
      </c>
      <c r="D56">
        <v>5</v>
      </c>
      <c r="E56" s="1">
        <f>IF(Table13658[[#This Row],[Won]]="y",IF(C56&gt;0, (C56/100)*D56 + Table13658[[#This Row],[Wager]], (100/ABS(C56))*D56 + Table13658[[#This Row],[Wager]]),0)</f>
        <v>0</v>
      </c>
      <c r="F56" t="s">
        <v>5</v>
      </c>
    </row>
    <row r="57" spans="1:6" x14ac:dyDescent="0.35">
      <c r="A57" t="s">
        <v>271</v>
      </c>
      <c r="B57" s="3">
        <v>45724</v>
      </c>
      <c r="C57">
        <v>-115</v>
      </c>
      <c r="D57">
        <v>3</v>
      </c>
      <c r="E57" s="1">
        <f>IF(Table13658[[#This Row],[Won]]="y",IF(C57&gt;0, (C57/100)*D57 + Table13658[[#This Row],[Wager]], (100/ABS(C57))*D57 + Table13658[[#This Row],[Wager]]),0)</f>
        <v>0</v>
      </c>
      <c r="F57" t="s">
        <v>5</v>
      </c>
    </row>
    <row r="58" spans="1:6" x14ac:dyDescent="0.35">
      <c r="A58" t="s">
        <v>272</v>
      </c>
      <c r="B58" s="3">
        <v>45724</v>
      </c>
      <c r="C58">
        <v>-120</v>
      </c>
      <c r="D58">
        <v>5</v>
      </c>
      <c r="E58" s="1">
        <f>IF(Table13658[[#This Row],[Won]]="y",IF(C58&gt;0, (C58/100)*D58 + Table13658[[#This Row],[Wager]], (100/ABS(C58))*D58 + Table13658[[#This Row],[Wager]]),0)</f>
        <v>0</v>
      </c>
      <c r="F58" t="s">
        <v>5</v>
      </c>
    </row>
    <row r="59" spans="1:6" x14ac:dyDescent="0.35">
      <c r="A59" t="s">
        <v>273</v>
      </c>
      <c r="B59" s="3">
        <v>45724</v>
      </c>
      <c r="C59">
        <v>-105</v>
      </c>
      <c r="D59">
        <v>10</v>
      </c>
      <c r="E59" s="1">
        <f>IF(Table13658[[#This Row],[Won]]="y",IF(C59&gt;0, (C59/100)*D59 + Table13658[[#This Row],[Wager]], (100/ABS(C59))*D59 + Table13658[[#This Row],[Wager]]),0)</f>
        <v>19.523809523809526</v>
      </c>
      <c r="F59" t="s">
        <v>4</v>
      </c>
    </row>
    <row r="60" spans="1:6" x14ac:dyDescent="0.35">
      <c r="A60" t="s">
        <v>274</v>
      </c>
      <c r="B60" s="3">
        <v>45724</v>
      </c>
      <c r="C60">
        <v>-110</v>
      </c>
      <c r="D60">
        <v>5</v>
      </c>
      <c r="E60" s="1">
        <f>IF(Table13658[[#This Row],[Won]]="y",IF(C60&gt;0, (C60/100)*D60 + Table13658[[#This Row],[Wager]], (100/ABS(C60))*D60 + Table13658[[#This Row],[Wager]]),0)</f>
        <v>9.545454545454545</v>
      </c>
      <c r="F60" t="s">
        <v>4</v>
      </c>
    </row>
    <row r="61" spans="1:6" x14ac:dyDescent="0.35">
      <c r="A61" t="s">
        <v>281</v>
      </c>
      <c r="B61" s="3">
        <v>45725</v>
      </c>
      <c r="C61">
        <v>-110</v>
      </c>
      <c r="D61">
        <v>5</v>
      </c>
      <c r="E61" s="1">
        <f>IF(Table13658[[#This Row],[Won]]="y",IF(C61&gt;0, (C61/100)*D61 + Table13658[[#This Row],[Wager]], (100/ABS(C61))*D61 + Table13658[[#This Row],[Wager]]),0)</f>
        <v>9.545454545454545</v>
      </c>
      <c r="F61" t="s">
        <v>4</v>
      </c>
    </row>
    <row r="62" spans="1:6" x14ac:dyDescent="0.35">
      <c r="A62" t="s">
        <v>282</v>
      </c>
      <c r="B62" s="3">
        <v>45725</v>
      </c>
      <c r="D62">
        <v>5.28</v>
      </c>
      <c r="E62" s="1">
        <f>IF(Table13658[[#This Row],[Won]]="y",IF(C62&gt;0, (C62/100)*D62 + Table13658[[#This Row],[Wager]], (100/ABS(C62))*D62 + Table13658[[#This Row],[Wager]]),0)</f>
        <v>0</v>
      </c>
      <c r="F62" t="s">
        <v>5</v>
      </c>
    </row>
    <row r="63" spans="1:6" x14ac:dyDescent="0.35">
      <c r="A63" t="s">
        <v>283</v>
      </c>
      <c r="B63" s="3">
        <v>45725</v>
      </c>
      <c r="C63">
        <v>-110</v>
      </c>
      <c r="D63">
        <v>5</v>
      </c>
      <c r="E63" s="1">
        <f>IF(Table13658[[#This Row],[Won]]="y",IF(C63&gt;0, (C63/100)*D63 + Table13658[[#This Row],[Wager]], (100/ABS(C63))*D63 + Table13658[[#This Row],[Wager]]),0)</f>
        <v>9.545454545454545</v>
      </c>
      <c r="F63" t="s">
        <v>4</v>
      </c>
    </row>
    <row r="64" spans="1:6" x14ac:dyDescent="0.35">
      <c r="A64" t="s">
        <v>284</v>
      </c>
      <c r="B64" s="3">
        <v>45725</v>
      </c>
      <c r="C64">
        <v>-105</v>
      </c>
      <c r="D64">
        <v>5</v>
      </c>
      <c r="E64" s="1">
        <f>IF(Table13658[[#This Row],[Won]]="y",IF(C64&gt;0, (C64/100)*D64 + Table13658[[#This Row],[Wager]], (100/ABS(C64))*D64 + Table13658[[#This Row],[Wager]]),0)</f>
        <v>9.7619047619047628</v>
      </c>
      <c r="F64" t="s">
        <v>4</v>
      </c>
    </row>
    <row r="65" spans="1:7" x14ac:dyDescent="0.35">
      <c r="A65" t="s">
        <v>285</v>
      </c>
      <c r="B65" s="3">
        <v>45725</v>
      </c>
      <c r="C65">
        <v>288</v>
      </c>
      <c r="D65">
        <v>2</v>
      </c>
      <c r="E65" s="1">
        <f>IF(Table13658[[#This Row],[Won]]="y",IF(C65&gt;0, (C65/100)*D65 + Table13658[[#This Row],[Wager]], (100/ABS(C65))*D65 + Table13658[[#This Row],[Wager]]),0)</f>
        <v>0</v>
      </c>
      <c r="F65" t="s">
        <v>5</v>
      </c>
    </row>
    <row r="66" spans="1:7" x14ac:dyDescent="0.35">
      <c r="A66" t="s">
        <v>214</v>
      </c>
      <c r="B66" s="3">
        <v>45725</v>
      </c>
      <c r="D66">
        <v>7.5</v>
      </c>
      <c r="E66" s="1">
        <f>IF(Table13658[[#This Row],[Won]]="y",IF(C66&gt;0, (C66/100)*D66 + Table13658[[#This Row],[Wager]], (100/ABS(C66))*D66 + Table13658[[#This Row],[Wager]]),0)</f>
        <v>0</v>
      </c>
      <c r="F66" t="s">
        <v>5</v>
      </c>
    </row>
    <row r="67" spans="1:7" x14ac:dyDescent="0.35">
      <c r="A67" t="s">
        <v>294</v>
      </c>
      <c r="B67" s="3">
        <v>45725</v>
      </c>
      <c r="C67">
        <v>-105</v>
      </c>
      <c r="D67">
        <v>5</v>
      </c>
      <c r="E67" s="1">
        <f>IF(Table13658[[#This Row],[Won]]="y",IF(C67&gt;0, (C67/100)*D67 + Table13658[[#This Row],[Wager]], (100/ABS(C67))*D67 + Table13658[[#This Row],[Wager]]),0)</f>
        <v>9.7619047619047628</v>
      </c>
      <c r="F67" t="s">
        <v>4</v>
      </c>
    </row>
    <row r="68" spans="1:7" x14ac:dyDescent="0.35">
      <c r="A68" t="s">
        <v>286</v>
      </c>
      <c r="B68" s="3">
        <v>45725</v>
      </c>
      <c r="C68">
        <v>175</v>
      </c>
      <c r="D68">
        <v>1</v>
      </c>
      <c r="E68" s="1">
        <f>IF(Table13658[[#This Row],[Won]]="y",IF(C68&gt;0, (C68/100)*D68 + Table13658[[#This Row],[Wager]], (100/ABS(C68))*D68 + Table13658[[#This Row],[Wager]]),0)</f>
        <v>0</v>
      </c>
      <c r="F68" t="s">
        <v>5</v>
      </c>
    </row>
    <row r="69" spans="1:7" x14ac:dyDescent="0.35">
      <c r="A69" t="s">
        <v>287</v>
      </c>
      <c r="B69" s="3">
        <v>45725</v>
      </c>
      <c r="C69">
        <v>-110</v>
      </c>
      <c r="D69">
        <v>5</v>
      </c>
      <c r="E69" s="1">
        <f>IF(Table13658[[#This Row],[Won]]="y",IF(C69&gt;0, (C69/100)*D69 + Table13658[[#This Row],[Wager]], (100/ABS(C69))*D69 + Table13658[[#This Row],[Wager]]),0)</f>
        <v>9.545454545454545</v>
      </c>
      <c r="F69" t="s">
        <v>4</v>
      </c>
    </row>
    <row r="70" spans="1:7" x14ac:dyDescent="0.35">
      <c r="A70" t="s">
        <v>288</v>
      </c>
      <c r="B70" s="3">
        <v>45726</v>
      </c>
      <c r="C70">
        <v>-110</v>
      </c>
      <c r="D70">
        <v>5</v>
      </c>
      <c r="E70" s="1">
        <f>IF(Table13658[[#This Row],[Won]]="y",IF(C70&gt;0, (C70/100)*D70 + Table13658[[#This Row],[Wager]], (100/ABS(C70))*D70 + Table13658[[#This Row],[Wager]]),0)</f>
        <v>9.545454545454545</v>
      </c>
      <c r="F70" t="s">
        <v>4</v>
      </c>
    </row>
    <row r="71" spans="1:7" x14ac:dyDescent="0.35">
      <c r="A71" t="s">
        <v>289</v>
      </c>
      <c r="B71" s="3">
        <v>45726</v>
      </c>
      <c r="C71">
        <v>105</v>
      </c>
      <c r="D71">
        <v>2.96</v>
      </c>
      <c r="E71" s="1">
        <f>IF(Table13658[[#This Row],[Won]]="y",IF(C71&gt;0, (C71/100)*D71 + Table13658[[#This Row],[Wager]], (100/ABS(C71))*D71 + Table13658[[#This Row],[Wager]]),0)</f>
        <v>6.0679999999999996</v>
      </c>
      <c r="F71" t="s">
        <v>4</v>
      </c>
    </row>
    <row r="72" spans="1:7" x14ac:dyDescent="0.35">
      <c r="A72" t="s">
        <v>290</v>
      </c>
      <c r="B72" s="3">
        <v>45726</v>
      </c>
      <c r="C72">
        <v>-110</v>
      </c>
      <c r="D72">
        <v>5</v>
      </c>
      <c r="E72" s="1">
        <f>IF(Table13658[[#This Row],[Won]]="y",IF(C72&gt;0, (C72/100)*D72 + Table13658[[#This Row],[Wager]], (100/ABS(C72))*D72 + Table13658[[#This Row],[Wager]]),0)</f>
        <v>9.545454545454545</v>
      </c>
      <c r="F72" t="s">
        <v>4</v>
      </c>
    </row>
    <row r="73" spans="1:7" x14ac:dyDescent="0.35">
      <c r="A73" t="s">
        <v>291</v>
      </c>
      <c r="B73" s="3">
        <v>45727</v>
      </c>
      <c r="C73">
        <v>-110</v>
      </c>
      <c r="D73">
        <v>5</v>
      </c>
      <c r="E73" s="1">
        <f>IF(Table13658[[#This Row],[Won]]="y",IF(C73&gt;0, (C73/100)*D73 + Table13658[[#This Row],[Wager]], (100/ABS(C73))*D73 + Table13658[[#This Row],[Wager]]),0)</f>
        <v>9.545454545454545</v>
      </c>
      <c r="F73" t="s">
        <v>4</v>
      </c>
    </row>
    <row r="74" spans="1:7" x14ac:dyDescent="0.35">
      <c r="A74" t="s">
        <v>292</v>
      </c>
      <c r="B74" s="3">
        <v>45727</v>
      </c>
      <c r="C74">
        <v>122</v>
      </c>
      <c r="D74">
        <v>5</v>
      </c>
      <c r="E74" s="1">
        <f>IF(Table13658[[#This Row],[Won]]="y",IF(C74&gt;0, (C74/100)*D74 + Table13658[[#This Row],[Wager]], (100/ABS(C74))*D74 + Table13658[[#This Row],[Wager]]),0)</f>
        <v>11.1</v>
      </c>
      <c r="F74" t="s">
        <v>4</v>
      </c>
    </row>
    <row r="75" spans="1:7" x14ac:dyDescent="0.35">
      <c r="A75" t="s">
        <v>293</v>
      </c>
      <c r="B75" s="3">
        <v>45727</v>
      </c>
      <c r="C75">
        <v>-110</v>
      </c>
      <c r="D75">
        <v>5</v>
      </c>
      <c r="E75" s="1">
        <f>IF(Table13658[[#This Row],[Won]]="y",IF(C75&gt;0, (C75/100)*D75 + Table13658[[#This Row],[Wager]], (100/ABS(C75))*D75 + Table13658[[#This Row],[Wager]]),0)</f>
        <v>0</v>
      </c>
      <c r="F75" t="s">
        <v>5</v>
      </c>
      <c r="G75" t="s">
        <v>295</v>
      </c>
    </row>
    <row r="76" spans="1:7" x14ac:dyDescent="0.35">
      <c r="A76" t="s">
        <v>296</v>
      </c>
      <c r="B76" s="3">
        <v>45727</v>
      </c>
      <c r="C76">
        <v>-104</v>
      </c>
      <c r="D76">
        <v>4.76</v>
      </c>
      <c r="E76" s="1">
        <f>IF(Table13658[[#This Row],[Won]]="y",IF(C76&gt;0, (C76/100)*D76 + Table13658[[#This Row],[Wager]], (100/ABS(C76))*D76 + Table13658[[#This Row],[Wager]]),0)</f>
        <v>9.3369230769230764</v>
      </c>
      <c r="F76" t="s">
        <v>4</v>
      </c>
    </row>
    <row r="77" spans="1:7" x14ac:dyDescent="0.35">
      <c r="A77" t="s">
        <v>297</v>
      </c>
      <c r="B77" s="3">
        <v>45727</v>
      </c>
      <c r="C77">
        <v>-110</v>
      </c>
      <c r="D77">
        <v>4.2</v>
      </c>
      <c r="E77" s="1">
        <f>IF(Table13658[[#This Row],[Won]]="y",IF(C77&gt;0, (C77/100)*D77 + Table13658[[#This Row],[Wager]], (100/ABS(C77))*D77 + Table13658[[#This Row],[Wager]]),0)</f>
        <v>0</v>
      </c>
      <c r="F77" t="s">
        <v>5</v>
      </c>
    </row>
    <row r="78" spans="1:7" x14ac:dyDescent="0.35">
      <c r="A78" t="s">
        <v>298</v>
      </c>
      <c r="B78" s="3">
        <v>45727</v>
      </c>
      <c r="C78">
        <v>-105</v>
      </c>
      <c r="D78">
        <v>5</v>
      </c>
      <c r="E78" s="1">
        <f>IF(Table13658[[#This Row],[Won]]="y",IF(C78&gt;0, (C78/100)*D78 + Table13658[[#This Row],[Wager]], (100/ABS(C78))*D78 + Table13658[[#This Row],[Wager]]),0)</f>
        <v>9.7619047619047628</v>
      </c>
      <c r="F78" t="s">
        <v>4</v>
      </c>
    </row>
    <row r="79" spans="1:7" x14ac:dyDescent="0.35">
      <c r="A79" t="s">
        <v>299</v>
      </c>
      <c r="B79" s="3">
        <v>45727</v>
      </c>
      <c r="C79">
        <v>210</v>
      </c>
      <c r="D79">
        <v>2.5</v>
      </c>
      <c r="E79" s="1">
        <f>IF(Table13658[[#This Row],[Won]]="y",IF(C79&gt;0, (C79/100)*D79 + Table13658[[#This Row],[Wager]], (100/ABS(C79))*D79 + Table13658[[#This Row],[Wager]]),0)</f>
        <v>0</v>
      </c>
      <c r="F79" t="s">
        <v>5</v>
      </c>
    </row>
    <row r="80" spans="1:7" x14ac:dyDescent="0.35">
      <c r="A80" t="s">
        <v>300</v>
      </c>
      <c r="B80" s="3">
        <v>45727</v>
      </c>
      <c r="C80">
        <v>-115</v>
      </c>
      <c r="D80">
        <v>5</v>
      </c>
      <c r="E80" s="1">
        <f>IF(Table13658[[#This Row],[Won]]="y",IF(C80&gt;0, (C80/100)*D80 + Table13658[[#This Row],[Wager]], (100/ABS(C80))*D80 + Table13658[[#This Row],[Wager]]),0)</f>
        <v>0</v>
      </c>
      <c r="F80" t="s">
        <v>5</v>
      </c>
    </row>
    <row r="81" spans="1:7" x14ac:dyDescent="0.35">
      <c r="A81" t="s">
        <v>301</v>
      </c>
      <c r="B81" s="3">
        <v>45728</v>
      </c>
      <c r="C81">
        <v>-110</v>
      </c>
      <c r="D81">
        <v>7.5</v>
      </c>
      <c r="E81" s="1">
        <f>IF(Table13658[[#This Row],[Won]]="y",IF(C81&gt;0, (C81/100)*D81 + Table13658[[#This Row],[Wager]], (100/ABS(C81))*D81 + Table13658[[#This Row],[Wager]]),0)</f>
        <v>0</v>
      </c>
      <c r="F81" t="s">
        <v>5</v>
      </c>
      <c r="G81" t="s">
        <v>309</v>
      </c>
    </row>
    <row r="82" spans="1:7" x14ac:dyDescent="0.35">
      <c r="A82" t="s">
        <v>302</v>
      </c>
      <c r="B82" s="3">
        <v>45728</v>
      </c>
      <c r="C82">
        <v>-108</v>
      </c>
      <c r="D82">
        <v>5</v>
      </c>
      <c r="E82" s="1">
        <f>IF(Table13658[[#This Row],[Won]]="y",IF(C82&gt;0, (C82/100)*D82 + Table13658[[#This Row],[Wager]], (100/ABS(C82))*D82 + Table13658[[#This Row],[Wager]]),0)</f>
        <v>0</v>
      </c>
      <c r="F82" t="s">
        <v>5</v>
      </c>
      <c r="G82" t="s">
        <v>308</v>
      </c>
    </row>
    <row r="83" spans="1:7" x14ac:dyDescent="0.35">
      <c r="A83" t="s">
        <v>303</v>
      </c>
      <c r="B83" s="3">
        <v>45728</v>
      </c>
      <c r="C83">
        <v>-115</v>
      </c>
      <c r="D83">
        <v>7.5</v>
      </c>
      <c r="E83" s="1">
        <f>IF(Table13658[[#This Row],[Won]]="y",IF(C83&gt;0, (C83/100)*D83 + Table13658[[#This Row],[Wager]], (100/ABS(C83))*D83 + Table13658[[#This Row],[Wager]]),0)</f>
        <v>0</v>
      </c>
      <c r="F83" t="s">
        <v>5</v>
      </c>
    </row>
    <row r="84" spans="1:7" x14ac:dyDescent="0.35">
      <c r="A84" t="s">
        <v>311</v>
      </c>
      <c r="B84" s="3">
        <v>45728</v>
      </c>
      <c r="D84">
        <v>1</v>
      </c>
      <c r="E84" s="1">
        <f>IF(Table13658[[#This Row],[Won]]="y",IF(C84&gt;0, (C84/100)*D84 + Table13658[[#This Row],[Wager]], (100/ABS(C84))*D84 + Table13658[[#This Row],[Wager]]),0)</f>
        <v>0</v>
      </c>
      <c r="F84" t="s">
        <v>5</v>
      </c>
    </row>
    <row r="85" spans="1:7" x14ac:dyDescent="0.35">
      <c r="A85" t="s">
        <v>306</v>
      </c>
      <c r="B85" s="3">
        <v>45728</v>
      </c>
      <c r="C85">
        <v>100</v>
      </c>
      <c r="D85">
        <v>7.5</v>
      </c>
      <c r="E85" s="1">
        <f>IF(Table13658[[#This Row],[Won]]="y",IF(C85&gt;0, (C85/100)*D85 + Table13658[[#This Row],[Wager]], (100/ABS(C85))*D85 + Table13658[[#This Row],[Wager]]),0)</f>
        <v>15</v>
      </c>
      <c r="F85" t="s">
        <v>4</v>
      </c>
    </row>
    <row r="86" spans="1:7" x14ac:dyDescent="0.35">
      <c r="A86" t="s">
        <v>92</v>
      </c>
      <c r="B86" s="3">
        <v>45728</v>
      </c>
      <c r="C86">
        <v>151</v>
      </c>
      <c r="D86">
        <v>5</v>
      </c>
      <c r="E86" s="1">
        <f>IF(Table13658[[#This Row],[Won]]="y",IF(C86&gt;0, (C86/100)*D86 + Table13658[[#This Row],[Wager]], (100/ABS(C86))*D86 + Table13658[[#This Row],[Wager]]),0)</f>
        <v>12.55</v>
      </c>
      <c r="F86" t="s">
        <v>4</v>
      </c>
    </row>
    <row r="87" spans="1:7" x14ac:dyDescent="0.35">
      <c r="A87" t="s">
        <v>292</v>
      </c>
      <c r="B87" s="3">
        <v>45728</v>
      </c>
      <c r="C87">
        <v>260</v>
      </c>
      <c r="D87">
        <v>1</v>
      </c>
      <c r="E87" s="1">
        <f>IF(Table13658[[#This Row],[Won]]="y",IF(C87&gt;0, (C87/100)*D87 + Table13658[[#This Row],[Wager]], (100/ABS(C87))*D87 + Table13658[[#This Row],[Wager]]),0)</f>
        <v>3.6</v>
      </c>
      <c r="F87" t="s">
        <v>4</v>
      </c>
    </row>
    <row r="88" spans="1:7" x14ac:dyDescent="0.35">
      <c r="A88" t="s">
        <v>304</v>
      </c>
      <c r="B88" s="3">
        <v>45728</v>
      </c>
      <c r="C88">
        <v>100</v>
      </c>
      <c r="D88">
        <v>7.5</v>
      </c>
      <c r="E88" s="1">
        <f>IF(Table13658[[#This Row],[Won]]="y",IF(C88&gt;0, (C88/100)*D88 + Table13658[[#This Row],[Wager]], (100/ABS(C88))*D88 + Table13658[[#This Row],[Wager]]),0)</f>
        <v>0</v>
      </c>
      <c r="F88" t="s">
        <v>5</v>
      </c>
    </row>
    <row r="89" spans="1:7" x14ac:dyDescent="0.35">
      <c r="A89" t="s">
        <v>305</v>
      </c>
      <c r="B89" s="3">
        <v>45728</v>
      </c>
      <c r="C89">
        <v>-110</v>
      </c>
      <c r="D89">
        <v>7.5</v>
      </c>
      <c r="E89" s="1">
        <f>IF(Table13658[[#This Row],[Won]]="y",IF(C89&gt;0, (C89/100)*D89 + Table13658[[#This Row],[Wager]], (100/ABS(C89))*D89 + Table13658[[#This Row],[Wager]]),0)</f>
        <v>14.318181818181818</v>
      </c>
      <c r="F89" t="s">
        <v>4</v>
      </c>
    </row>
    <row r="90" spans="1:7" x14ac:dyDescent="0.35">
      <c r="A90" t="s">
        <v>307</v>
      </c>
      <c r="B90" s="3">
        <v>45728</v>
      </c>
      <c r="C90">
        <v>-105</v>
      </c>
      <c r="D90">
        <v>7.5</v>
      </c>
      <c r="E90" s="1">
        <f>IF(Table13658[[#This Row],[Won]]="y",IF(C90&gt;0, (C90/100)*D90 + Table13658[[#This Row],[Wager]], (100/ABS(C90))*D90 + Table13658[[#This Row],[Wager]]),0)</f>
        <v>14.642857142857142</v>
      </c>
      <c r="F90" t="s">
        <v>4</v>
      </c>
    </row>
    <row r="91" spans="1:7" x14ac:dyDescent="0.35">
      <c r="A91" t="s">
        <v>310</v>
      </c>
      <c r="B91" s="3">
        <v>45728</v>
      </c>
      <c r="C91">
        <v>-110</v>
      </c>
      <c r="D91">
        <v>5</v>
      </c>
      <c r="E91" s="1">
        <f>IF(Table13658[[#This Row],[Won]]="y",IF(C91&gt;0, (C91/100)*D91 + Table13658[[#This Row],[Wager]], (100/ABS(C91))*D91 + Table13658[[#This Row],[Wager]]),0)</f>
        <v>0</v>
      </c>
      <c r="F91" t="s">
        <v>5</v>
      </c>
    </row>
    <row r="92" spans="1:7" x14ac:dyDescent="0.35">
      <c r="A92" t="s">
        <v>312</v>
      </c>
      <c r="B92" s="3">
        <v>45728</v>
      </c>
      <c r="C92">
        <v>-110</v>
      </c>
      <c r="D92">
        <v>7.5</v>
      </c>
      <c r="E92" s="1">
        <f>IF(Table13658[[#This Row],[Won]]="y",IF(C92&gt;0, (C92/100)*D92 + Table13658[[#This Row],[Wager]], (100/ABS(C92))*D92 + Table13658[[#This Row],[Wager]]),0)</f>
        <v>0</v>
      </c>
      <c r="F92" t="s">
        <v>5</v>
      </c>
      <c r="G92" t="s">
        <v>314</v>
      </c>
    </row>
    <row r="93" spans="1:7" x14ac:dyDescent="0.35">
      <c r="A93" t="s">
        <v>313</v>
      </c>
      <c r="B93" s="3">
        <v>45728</v>
      </c>
      <c r="C93">
        <v>-110</v>
      </c>
      <c r="D93">
        <v>5</v>
      </c>
      <c r="E93" s="1">
        <f>IF(Table13658[[#This Row],[Won]]="y",IF(C93&gt;0, (C93/100)*D93 + Table13658[[#This Row],[Wager]], (100/ABS(C93))*D93 + Table13658[[#This Row],[Wager]]),0)</f>
        <v>9.545454545454545</v>
      </c>
      <c r="F93" t="s">
        <v>4</v>
      </c>
    </row>
    <row r="94" spans="1:7" x14ac:dyDescent="0.35">
      <c r="A94" t="s">
        <v>315</v>
      </c>
      <c r="B94" s="3">
        <v>45729</v>
      </c>
      <c r="C94">
        <v>-110</v>
      </c>
      <c r="D94">
        <v>7.5</v>
      </c>
      <c r="E94" s="1">
        <f>IF(Table13658[[#This Row],[Won]]="y",IF(C94&gt;0, (C94/100)*D94 + Table13658[[#This Row],[Wager]], (100/ABS(C94))*D94 + Table13658[[#This Row],[Wager]]),0)</f>
        <v>0</v>
      </c>
      <c r="F94" t="s">
        <v>5</v>
      </c>
    </row>
    <row r="95" spans="1:7" x14ac:dyDescent="0.35">
      <c r="A95" t="s">
        <v>316</v>
      </c>
      <c r="B95" s="3">
        <v>45729</v>
      </c>
      <c r="C95">
        <v>-115</v>
      </c>
      <c r="D95">
        <v>5</v>
      </c>
      <c r="E95" s="1">
        <f>IF(Table13658[[#This Row],[Won]]="y",IF(C95&gt;0, (C95/100)*D95 + Table13658[[#This Row],[Wager]], (100/ABS(C95))*D95 + Table13658[[#This Row],[Wager]]),0)</f>
        <v>9.3478260869565215</v>
      </c>
      <c r="F95" t="s">
        <v>4</v>
      </c>
    </row>
    <row r="96" spans="1:7" x14ac:dyDescent="0.35">
      <c r="A96" t="s">
        <v>317</v>
      </c>
      <c r="B96" s="3">
        <v>45729</v>
      </c>
      <c r="C96">
        <v>170</v>
      </c>
      <c r="D96">
        <v>2.5</v>
      </c>
      <c r="E96" s="1">
        <f>IF(Table13658[[#This Row],[Won]]="y",IF(C96&gt;0, (C96/100)*D96 + Table13658[[#This Row],[Wager]], (100/ABS(C96))*D96 + Table13658[[#This Row],[Wager]]),0)</f>
        <v>0</v>
      </c>
      <c r="F96" t="s">
        <v>5</v>
      </c>
    </row>
    <row r="97" spans="1:6" x14ac:dyDescent="0.35">
      <c r="A97" t="s">
        <v>318</v>
      </c>
      <c r="B97" s="3">
        <v>45729</v>
      </c>
      <c r="C97">
        <v>-115</v>
      </c>
      <c r="D97">
        <v>5</v>
      </c>
      <c r="E97" s="1">
        <f>IF(Table13658[[#This Row],[Won]]="y",IF(C97&gt;0, (C97/100)*D97 + Table13658[[#This Row],[Wager]], (100/ABS(C97))*D97 + Table13658[[#This Row],[Wager]]),0)</f>
        <v>9.3478260869565215</v>
      </c>
      <c r="F97" t="s">
        <v>4</v>
      </c>
    </row>
    <row r="98" spans="1:6" x14ac:dyDescent="0.35">
      <c r="A98" t="s">
        <v>92</v>
      </c>
      <c r="B98" s="3">
        <v>45729</v>
      </c>
      <c r="C98">
        <v>225</v>
      </c>
      <c r="D98">
        <v>2.5</v>
      </c>
      <c r="E98" s="1">
        <f>IF(Table13658[[#This Row],[Won]]="y",IF(C98&gt;0, (C98/100)*D98 + Table13658[[#This Row],[Wager]], (100/ABS(C98))*D98 + Table13658[[#This Row],[Wager]]),0)</f>
        <v>8.125</v>
      </c>
      <c r="F98" t="s">
        <v>4</v>
      </c>
    </row>
    <row r="99" spans="1:6" x14ac:dyDescent="0.35">
      <c r="A99" t="s">
        <v>319</v>
      </c>
      <c r="B99" s="3">
        <v>45729</v>
      </c>
      <c r="C99">
        <v>-115</v>
      </c>
      <c r="D99">
        <v>7.5</v>
      </c>
      <c r="E99" s="1">
        <f>IF(Table13658[[#This Row],[Won]]="y",IF(C99&gt;0, (C99/100)*D99 + Table13658[[#This Row],[Wager]], (100/ABS(C99))*D99 + Table13658[[#This Row],[Wager]]),0)</f>
        <v>14.021739130434781</v>
      </c>
      <c r="F99" t="s">
        <v>4</v>
      </c>
    </row>
    <row r="100" spans="1:6" x14ac:dyDescent="0.35">
      <c r="A100" t="s">
        <v>320</v>
      </c>
      <c r="B100" s="3">
        <v>45729</v>
      </c>
      <c r="C100">
        <v>115</v>
      </c>
      <c r="D100">
        <v>7.5</v>
      </c>
      <c r="E100" s="1">
        <f>IF(Table13658[[#This Row],[Won]]="y",IF(C100&gt;0, (C100/100)*D100 + Table13658[[#This Row],[Wager]], (100/ABS(C100))*D100 + Table13658[[#This Row],[Wager]]),0)</f>
        <v>0</v>
      </c>
      <c r="F100" t="s">
        <v>5</v>
      </c>
    </row>
    <row r="101" spans="1:6" x14ac:dyDescent="0.35">
      <c r="A101" t="s">
        <v>321</v>
      </c>
      <c r="B101" s="3">
        <v>45729</v>
      </c>
      <c r="C101">
        <v>-110</v>
      </c>
      <c r="D101">
        <v>7.5</v>
      </c>
      <c r="E101" s="1">
        <f>IF(Table13658[[#This Row],[Won]]="y",IF(C101&gt;0, (C101/100)*D101 + Table13658[[#This Row],[Wager]], (100/ABS(C101))*D101 + Table13658[[#This Row],[Wager]]),0)</f>
        <v>14.318181818181818</v>
      </c>
      <c r="F101" t="s">
        <v>4</v>
      </c>
    </row>
    <row r="102" spans="1:6" x14ac:dyDescent="0.35">
      <c r="A102" t="s">
        <v>322</v>
      </c>
      <c r="B102" s="3">
        <v>45729</v>
      </c>
      <c r="C102">
        <v>-105</v>
      </c>
      <c r="D102">
        <v>7.5</v>
      </c>
      <c r="E102" s="1">
        <f>IF(Table13658[[#This Row],[Won]]="y",IF(C102&gt;0, (C102/100)*D102 + Table13658[[#This Row],[Wager]], (100/ABS(C102))*D102 + Table13658[[#This Row],[Wager]]),0)</f>
        <v>0</v>
      </c>
      <c r="F102" t="s">
        <v>5</v>
      </c>
    </row>
    <row r="103" spans="1:6" x14ac:dyDescent="0.35">
      <c r="A103" t="s">
        <v>323</v>
      </c>
      <c r="B103" s="3">
        <v>45729</v>
      </c>
      <c r="C103">
        <v>-120</v>
      </c>
      <c r="D103">
        <v>7.5</v>
      </c>
      <c r="E103" s="1">
        <f>IF(Table13658[[#This Row],[Won]]="y",IF(C103&gt;0, (C103/100)*D103 + Table13658[[#This Row],[Wager]], (100/ABS(C103))*D103 + Table13658[[#This Row],[Wager]]),0)</f>
        <v>13.75</v>
      </c>
      <c r="F103" t="s">
        <v>4</v>
      </c>
    </row>
    <row r="104" spans="1:6" x14ac:dyDescent="0.35">
      <c r="A104" t="s">
        <v>324</v>
      </c>
      <c r="B104" s="3">
        <v>45729</v>
      </c>
      <c r="C104">
        <v>100</v>
      </c>
      <c r="D104">
        <v>7.5</v>
      </c>
      <c r="E104" s="1">
        <f>IF(Table13658[[#This Row],[Won]]="y",IF(C104&gt;0, (C104/100)*D104 + Table13658[[#This Row],[Wager]], (100/ABS(C104))*D104 + Table13658[[#This Row],[Wager]]),0)</f>
        <v>0</v>
      </c>
      <c r="F104" t="s">
        <v>5</v>
      </c>
    </row>
    <row r="105" spans="1:6" x14ac:dyDescent="0.35">
      <c r="A105" t="s">
        <v>325</v>
      </c>
      <c r="B105" s="3">
        <v>45729</v>
      </c>
      <c r="C105">
        <v>-105</v>
      </c>
      <c r="D105">
        <v>7.5</v>
      </c>
      <c r="E105" s="1">
        <f>IF(Table13658[[#This Row],[Won]]="y",IF(C105&gt;0, (C105/100)*D105 + Table13658[[#This Row],[Wager]], (100/ABS(C105))*D105 + Table13658[[#This Row],[Wager]]),0)</f>
        <v>14.642857142857142</v>
      </c>
      <c r="F105" t="s">
        <v>4</v>
      </c>
    </row>
    <row r="106" spans="1:6" x14ac:dyDescent="0.35">
      <c r="A106" t="s">
        <v>326</v>
      </c>
      <c r="B106" s="3">
        <v>45729</v>
      </c>
      <c r="C106">
        <v>-110</v>
      </c>
      <c r="D106">
        <v>7.5</v>
      </c>
      <c r="E106" s="1">
        <f>IF(Table13658[[#This Row],[Won]]="y",IF(C106&gt;0, (C106/100)*D106 + Table13658[[#This Row],[Wager]], (100/ABS(C106))*D106 + Table13658[[#This Row],[Wager]]),0)</f>
        <v>14.318181818181818</v>
      </c>
      <c r="F106" t="s">
        <v>4</v>
      </c>
    </row>
    <row r="107" spans="1:6" x14ac:dyDescent="0.35">
      <c r="A107" t="s">
        <v>269</v>
      </c>
      <c r="B107" s="3">
        <f t="shared" ref="B107:B121" ca="1" si="0">TODAY()</f>
        <v>45951</v>
      </c>
      <c r="C107">
        <v>-105</v>
      </c>
      <c r="D107">
        <v>7.5</v>
      </c>
      <c r="E107" s="1">
        <f>IF(Table13658[[#This Row],[Won]]="y",IF(C107&gt;0, (C107/100)*D107 + Table13658[[#This Row],[Wager]], (100/ABS(C107))*D107 + Table13658[[#This Row],[Wager]]),0)</f>
        <v>14.642857142857142</v>
      </c>
      <c r="F107" t="s">
        <v>4</v>
      </c>
    </row>
    <row r="108" spans="1:6" x14ac:dyDescent="0.35">
      <c r="A108" t="s">
        <v>327</v>
      </c>
      <c r="B108" s="3">
        <f t="shared" ca="1" si="0"/>
        <v>45951</v>
      </c>
      <c r="C108">
        <v>135</v>
      </c>
      <c r="D108">
        <v>2.5</v>
      </c>
      <c r="E108" s="1">
        <f>IF(Table13658[[#This Row],[Won]]="y",IF(C108&gt;0, (C108/100)*D108 + Table13658[[#This Row],[Wager]], (100/ABS(C108))*D108 + Table13658[[#This Row],[Wager]]),0)</f>
        <v>5.875</v>
      </c>
      <c r="F108" t="s">
        <v>4</v>
      </c>
    </row>
    <row r="109" spans="1:6" x14ac:dyDescent="0.35">
      <c r="A109" t="s">
        <v>328</v>
      </c>
      <c r="B109" s="3">
        <f t="shared" ca="1" si="0"/>
        <v>45951</v>
      </c>
      <c r="C109">
        <v>-120</v>
      </c>
      <c r="D109">
        <v>5</v>
      </c>
      <c r="E109" s="1">
        <f>IF(Table13658[[#This Row],[Won]]="y",IF(C109&gt;0, (C109/100)*D109 + Table13658[[#This Row],[Wager]], (100/ABS(C109))*D109 + Table13658[[#This Row],[Wager]]),0)</f>
        <v>9.1666666666666679</v>
      </c>
      <c r="F109" t="s">
        <v>4</v>
      </c>
    </row>
    <row r="110" spans="1:6" x14ac:dyDescent="0.35">
      <c r="A110" t="s">
        <v>329</v>
      </c>
      <c r="B110" s="3">
        <f t="shared" ca="1" si="0"/>
        <v>45951</v>
      </c>
      <c r="C110">
        <v>-105</v>
      </c>
      <c r="D110">
        <v>7.5</v>
      </c>
      <c r="E110" s="1">
        <f>IF(Table13658[[#This Row],[Won]]="y",IF(C110&gt;0, (C110/100)*D110 + Table13658[[#This Row],[Wager]], (100/ABS(C110))*D110 + Table13658[[#This Row],[Wager]]),0)</f>
        <v>14.642857142857142</v>
      </c>
      <c r="F110" t="s">
        <v>4</v>
      </c>
    </row>
    <row r="111" spans="1:6" x14ac:dyDescent="0.35">
      <c r="A111" t="s">
        <v>330</v>
      </c>
      <c r="B111" s="3">
        <f t="shared" ca="1" si="0"/>
        <v>45951</v>
      </c>
      <c r="C111">
        <v>125</v>
      </c>
      <c r="D111">
        <v>2.5</v>
      </c>
      <c r="E111" s="1">
        <f>IF(Table13658[[#This Row],[Won]]="y",IF(C111&gt;0, (C111/100)*D111 + Table13658[[#This Row],[Wager]], (100/ABS(C111))*D111 + Table13658[[#This Row],[Wager]]),0)</f>
        <v>5.625</v>
      </c>
      <c r="F111" t="s">
        <v>4</v>
      </c>
    </row>
    <row r="112" spans="1:6" x14ac:dyDescent="0.35">
      <c r="A112" t="s">
        <v>331</v>
      </c>
      <c r="B112" s="3">
        <f t="shared" ca="1" si="0"/>
        <v>45951</v>
      </c>
      <c r="C112">
        <v>-110</v>
      </c>
      <c r="D112">
        <v>7.5</v>
      </c>
      <c r="E112" s="1">
        <f>IF(Table13658[[#This Row],[Won]]="y",IF(C112&gt;0, (C112/100)*D112 + Table13658[[#This Row],[Wager]], (100/ABS(C112))*D112 + Table13658[[#This Row],[Wager]]),0)</f>
        <v>14.318181818181818</v>
      </c>
      <c r="F112" t="s">
        <v>4</v>
      </c>
    </row>
    <row r="113" spans="1:7" x14ac:dyDescent="0.35">
      <c r="A113" t="s">
        <v>332</v>
      </c>
      <c r="B113" s="3">
        <f t="shared" ca="1" si="0"/>
        <v>45951</v>
      </c>
      <c r="C113">
        <v>-105</v>
      </c>
      <c r="D113">
        <v>2.5</v>
      </c>
      <c r="E113" s="1">
        <f>IF(Table13658[[#This Row],[Won]]="y",IF(C113&gt;0, (C113/100)*D113 + Table13658[[#This Row],[Wager]], (100/ABS(C113))*D113 + Table13658[[#This Row],[Wager]]),0)</f>
        <v>4.8809523809523814</v>
      </c>
      <c r="F113" t="s">
        <v>4</v>
      </c>
    </row>
    <row r="114" spans="1:7" x14ac:dyDescent="0.35">
      <c r="A114" t="s">
        <v>333</v>
      </c>
      <c r="B114" s="3">
        <f t="shared" ca="1" si="0"/>
        <v>45951</v>
      </c>
      <c r="C114">
        <v>110</v>
      </c>
      <c r="D114">
        <v>5</v>
      </c>
      <c r="E114" s="1">
        <f>IF(Table13658[[#This Row],[Won]]="y",IF(C114&gt;0, (C114/100)*D114 + Table13658[[#This Row],[Wager]], (100/ABS(C114))*D114 + Table13658[[#This Row],[Wager]]),0)</f>
        <v>10.5</v>
      </c>
      <c r="F114" t="s">
        <v>4</v>
      </c>
    </row>
    <row r="115" spans="1:7" x14ac:dyDescent="0.35">
      <c r="A115" t="s">
        <v>334</v>
      </c>
      <c r="B115" s="3">
        <f t="shared" ca="1" si="0"/>
        <v>45951</v>
      </c>
      <c r="C115">
        <v>-120</v>
      </c>
      <c r="D115">
        <v>7.5</v>
      </c>
      <c r="E115" s="1">
        <f>IF(Table13658[[#This Row],[Won]]="y",IF(C115&gt;0, (C115/100)*D115 + Table13658[[#This Row],[Wager]], (100/ABS(C115))*D115 + Table13658[[#This Row],[Wager]]),0)</f>
        <v>0</v>
      </c>
      <c r="F115" t="s">
        <v>5</v>
      </c>
    </row>
    <row r="116" spans="1:7" x14ac:dyDescent="0.35">
      <c r="A116" t="s">
        <v>335</v>
      </c>
      <c r="B116" s="3">
        <f t="shared" ca="1" si="0"/>
        <v>45951</v>
      </c>
      <c r="C116">
        <v>105</v>
      </c>
      <c r="D116">
        <v>7.5</v>
      </c>
      <c r="E116" s="1">
        <f>IF(Table13658[[#This Row],[Won]]="y",IF(C116&gt;0, (C116/100)*D116 + Table13658[[#This Row],[Wager]], (100/ABS(C116))*D116 + Table13658[[#This Row],[Wager]]),0)</f>
        <v>15.375</v>
      </c>
      <c r="F116" t="s">
        <v>4</v>
      </c>
    </row>
    <row r="117" spans="1:7" x14ac:dyDescent="0.35">
      <c r="A117" t="s">
        <v>336</v>
      </c>
      <c r="B117" s="3">
        <f t="shared" ca="1" si="0"/>
        <v>45951</v>
      </c>
      <c r="C117">
        <v>100</v>
      </c>
      <c r="D117">
        <v>7.5</v>
      </c>
      <c r="E117" s="1">
        <f>IF(Table13658[[#This Row],[Won]]="y",IF(C117&gt;0, (C117/100)*D117 + Table13658[[#This Row],[Wager]], (100/ABS(C117))*D117 + Table13658[[#This Row],[Wager]]),0)</f>
        <v>15</v>
      </c>
      <c r="F117" t="s">
        <v>4</v>
      </c>
    </row>
    <row r="118" spans="1:7" x14ac:dyDescent="0.35">
      <c r="A118" t="s">
        <v>337</v>
      </c>
      <c r="B118" s="3">
        <f t="shared" ca="1" si="0"/>
        <v>45951</v>
      </c>
      <c r="C118">
        <v>-120</v>
      </c>
      <c r="D118">
        <v>5</v>
      </c>
      <c r="E118" s="1">
        <f>IF(Table13658[[#This Row],[Won]]="y",IF(C118&gt;0, (C118/100)*D118 + Table13658[[#This Row],[Wager]], (100/ABS(C118))*D118 + Table13658[[#This Row],[Wager]]),0)</f>
        <v>0</v>
      </c>
      <c r="F118" t="s">
        <v>5</v>
      </c>
    </row>
    <row r="119" spans="1:7" x14ac:dyDescent="0.35">
      <c r="A119" t="s">
        <v>338</v>
      </c>
      <c r="B119" s="3">
        <f t="shared" ca="1" si="0"/>
        <v>45951</v>
      </c>
      <c r="C119">
        <v>-110</v>
      </c>
      <c r="D119">
        <v>7.5</v>
      </c>
      <c r="E119" s="1">
        <f>IF(Table13658[[#This Row],[Won]]="y",IF(C119&gt;0, (C119/100)*D119 + Table13658[[#This Row],[Wager]], (100/ABS(C119))*D119 + Table13658[[#This Row],[Wager]]),0)</f>
        <v>0</v>
      </c>
      <c r="F119" t="s">
        <v>5</v>
      </c>
    </row>
    <row r="120" spans="1:7" x14ac:dyDescent="0.35">
      <c r="A120" t="s">
        <v>339</v>
      </c>
      <c r="B120" s="3">
        <f t="shared" ca="1" si="0"/>
        <v>45951</v>
      </c>
      <c r="C120">
        <v>-115</v>
      </c>
      <c r="D120">
        <v>7.5</v>
      </c>
      <c r="E120" s="1">
        <f>IF(Table13658[[#This Row],[Won]]="y",IF(C120&gt;0, (C120/100)*D120 + Table13658[[#This Row],[Wager]], (100/ABS(C120))*D120 + Table13658[[#This Row],[Wager]]),0)</f>
        <v>0</v>
      </c>
      <c r="F120" t="s">
        <v>5</v>
      </c>
    </row>
    <row r="121" spans="1:7" x14ac:dyDescent="0.35">
      <c r="A121" t="s">
        <v>340</v>
      </c>
      <c r="B121" s="3">
        <f t="shared" ca="1" si="0"/>
        <v>45951</v>
      </c>
      <c r="C121">
        <v>-102</v>
      </c>
      <c r="D121">
        <v>7.5</v>
      </c>
      <c r="E121" s="1">
        <f>IF(Table13658[[#This Row],[Won]]="y",IF(C121&gt;0, (C121/100)*D121 + Table13658[[#This Row],[Wager]], (100/ABS(C121))*D121 + Table13658[[#This Row],[Wager]]),0)</f>
        <v>0</v>
      </c>
      <c r="F121" t="s">
        <v>5</v>
      </c>
    </row>
    <row r="122" spans="1:7" x14ac:dyDescent="0.35">
      <c r="D122">
        <f>SUBTOTAL(109,Table13658[Wager])</f>
        <v>604.62999999999988</v>
      </c>
      <c r="E122" s="1">
        <f>SUBTOTAL(109,Table13658[Amount Won])</f>
        <v>633.83899045881662</v>
      </c>
      <c r="F122" s="1">
        <f>Table13658[[#Totals],[Amount Won]]-Table13658[[#Totals],[Wager]]</f>
        <v>29.208990458816743</v>
      </c>
      <c r="G122" s="2">
        <f>Table13658[[#Totals],[Won]]/Table13658[[#Totals],[Wager]]</f>
        <v>4.8308867338399931E-2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0867-6721-47BA-A18C-BBB3F10B2A0C}">
  <dimension ref="A1:R26"/>
  <sheetViews>
    <sheetView workbookViewId="0">
      <selection activeCell="R4" sqref="R4"/>
    </sheetView>
  </sheetViews>
  <sheetFormatPr defaultRowHeight="14.5" x14ac:dyDescent="0.35"/>
  <cols>
    <col min="1" max="2" width="13.90625" bestFit="1" customWidth="1"/>
    <col min="3" max="3" width="8.7265625" customWidth="1"/>
    <col min="4" max="4" width="12.453125" customWidth="1"/>
    <col min="5" max="5" width="11.81640625" customWidth="1"/>
    <col min="6" max="6" width="17.26953125" customWidth="1"/>
    <col min="7" max="7" width="16.6328125" customWidth="1"/>
    <col min="8" max="8" width="12.08984375" bestFit="1" customWidth="1"/>
  </cols>
  <sheetData>
    <row r="1" spans="1:18" x14ac:dyDescent="0.35">
      <c r="A1" t="s">
        <v>17</v>
      </c>
      <c r="B1" t="s">
        <v>18</v>
      </c>
      <c r="C1" t="s">
        <v>240</v>
      </c>
      <c r="D1" t="s">
        <v>19</v>
      </c>
      <c r="E1" t="s">
        <v>20</v>
      </c>
      <c r="F1" t="s">
        <v>21</v>
      </c>
      <c r="G1" t="s">
        <v>22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</row>
    <row r="2" spans="1:18" x14ac:dyDescent="0.35">
      <c r="A2" t="s">
        <v>155</v>
      </c>
      <c r="B2" t="s">
        <v>109</v>
      </c>
      <c r="C2">
        <v>3</v>
      </c>
      <c r="D2">
        <v>-5.3934770786224098</v>
      </c>
      <c r="E2">
        <v>136.304128879122</v>
      </c>
      <c r="F2">
        <v>-4.5844387219406499</v>
      </c>
      <c r="G2">
        <v>136.42589719793301</v>
      </c>
      <c r="H2">
        <v>-7.5</v>
      </c>
      <c r="I2">
        <v>-117.64705882352899</v>
      </c>
      <c r="J2">
        <v>7.5</v>
      </c>
      <c r="K2">
        <v>-104.166666666666</v>
      </c>
      <c r="L2">
        <v>-6.8722394750703799</v>
      </c>
      <c r="M2">
        <v>6.8722394750703799</v>
      </c>
      <c r="N2">
        <v>0.44452660392948401</v>
      </c>
      <c r="O2">
        <v>0.55547339607051505</v>
      </c>
      <c r="P2">
        <v>-23.317312233750499</v>
      </c>
      <c r="Q2">
        <v>4.4275195905261997</v>
      </c>
      <c r="R2" t="s">
        <v>5</v>
      </c>
    </row>
    <row r="3" spans="1:18" x14ac:dyDescent="0.35">
      <c r="A3" t="s">
        <v>123</v>
      </c>
      <c r="B3" t="s">
        <v>45</v>
      </c>
      <c r="C3">
        <v>3</v>
      </c>
      <c r="D3">
        <v>8.0246613360846499</v>
      </c>
      <c r="E3">
        <v>133.66429471652199</v>
      </c>
      <c r="F3">
        <v>2.8586346934681002</v>
      </c>
      <c r="G3">
        <v>137.93771605214701</v>
      </c>
      <c r="H3">
        <v>7.5</v>
      </c>
      <c r="I3">
        <v>-105.263157894736</v>
      </c>
      <c r="J3">
        <v>-7.5</v>
      </c>
      <c r="K3">
        <v>-114.942528735632</v>
      </c>
      <c r="L3">
        <v>6.9854120036940897</v>
      </c>
      <c r="M3">
        <v>-6.9854120036940897</v>
      </c>
      <c r="N3">
        <v>0.54552097059649496</v>
      </c>
      <c r="O3">
        <v>0.45447902940350399</v>
      </c>
      <c r="P3">
        <v>1.83179897228155</v>
      </c>
      <c r="Q3">
        <v>-20.467631207509498</v>
      </c>
      <c r="R3" t="s">
        <v>4</v>
      </c>
    </row>
    <row r="4" spans="1:18" x14ac:dyDescent="0.35">
      <c r="A4" t="s">
        <v>275</v>
      </c>
      <c r="B4" t="s">
        <v>257</v>
      </c>
      <c r="C4">
        <v>0</v>
      </c>
      <c r="D4">
        <v>-17.0662883122152</v>
      </c>
      <c r="E4">
        <v>148.22463065567101</v>
      </c>
      <c r="F4">
        <v>-7.4555514051626597</v>
      </c>
      <c r="G4">
        <v>138.55980037724899</v>
      </c>
      <c r="H4">
        <v>-15.5</v>
      </c>
      <c r="I4">
        <v>-109.890109890109</v>
      </c>
      <c r="J4">
        <v>15.5</v>
      </c>
      <c r="K4">
        <v>-109.890109890109</v>
      </c>
      <c r="L4">
        <v>-14.6902299646722</v>
      </c>
      <c r="M4">
        <v>14.6902299646722</v>
      </c>
      <c r="N4">
        <v>0.42859634382998602</v>
      </c>
      <c r="O4">
        <v>0.57140365617001299</v>
      </c>
      <c r="P4">
        <v>-23.8521348901726</v>
      </c>
      <c r="Q4">
        <v>4.8521348901726302</v>
      </c>
    </row>
    <row r="5" spans="1:18" x14ac:dyDescent="0.35">
      <c r="A5" t="s">
        <v>50</v>
      </c>
      <c r="B5" t="s">
        <v>154</v>
      </c>
      <c r="C5">
        <v>3</v>
      </c>
      <c r="D5">
        <v>-5.6291194685551904</v>
      </c>
      <c r="E5">
        <v>146.360138626897</v>
      </c>
      <c r="F5">
        <v>-4.1338868758483303</v>
      </c>
      <c r="G5">
        <v>145.654319367319</v>
      </c>
      <c r="H5">
        <v>-7.5</v>
      </c>
      <c r="I5">
        <v>-114.942528735632</v>
      </c>
      <c r="J5">
        <v>7.5</v>
      </c>
      <c r="K5">
        <v>-105.263157894736</v>
      </c>
      <c r="L5">
        <v>-6.8453757930504402</v>
      </c>
      <c r="M5">
        <v>6.8453757930504402</v>
      </c>
      <c r="N5">
        <v>0.44216909251125702</v>
      </c>
      <c r="O5">
        <v>0.55783090748874198</v>
      </c>
      <c r="P5">
        <v>-22.892688775282199</v>
      </c>
      <c r="Q5">
        <v>4.3553360351921899</v>
      </c>
      <c r="R5" t="s">
        <v>4</v>
      </c>
    </row>
    <row r="6" spans="1:18" x14ac:dyDescent="0.35">
      <c r="A6" t="s">
        <v>210</v>
      </c>
      <c r="B6" t="s">
        <v>214</v>
      </c>
      <c r="C6">
        <v>0</v>
      </c>
      <c r="D6">
        <v>4.6361229960611497E-2</v>
      </c>
      <c r="E6">
        <v>126.611574651376</v>
      </c>
      <c r="F6">
        <v>1.6068601158487099</v>
      </c>
      <c r="G6">
        <v>124.03406345642099</v>
      </c>
      <c r="H6">
        <v>-3.5</v>
      </c>
      <c r="I6">
        <v>-114.942528735632</v>
      </c>
      <c r="J6">
        <v>3.5</v>
      </c>
      <c r="K6">
        <v>-105.263157894736</v>
      </c>
      <c r="L6">
        <v>-2.41834733177383</v>
      </c>
      <c r="M6">
        <v>2.41834733177383</v>
      </c>
      <c r="N6">
        <v>0.40502277865373099</v>
      </c>
      <c r="O6">
        <v>0.59497722134626796</v>
      </c>
      <c r="P6">
        <v>-30.210512605214799</v>
      </c>
      <c r="Q6">
        <v>11.970330375985</v>
      </c>
      <c r="R6" t="s">
        <v>5</v>
      </c>
    </row>
    <row r="7" spans="1:18" x14ac:dyDescent="0.35">
      <c r="A7" t="s">
        <v>88</v>
      </c>
      <c r="B7" t="s">
        <v>158</v>
      </c>
      <c r="C7">
        <v>3</v>
      </c>
      <c r="D7">
        <v>8.5090630008232893</v>
      </c>
      <c r="E7">
        <v>125.04537432258201</v>
      </c>
      <c r="F7">
        <v>2.8758358555396102</v>
      </c>
      <c r="G7">
        <v>129.85214337270801</v>
      </c>
      <c r="H7">
        <v>5.5</v>
      </c>
      <c r="I7">
        <v>-109.890109890109</v>
      </c>
      <c r="L7">
        <v>5.5481123570453601</v>
      </c>
      <c r="N7">
        <v>0.49573473605347801</v>
      </c>
      <c r="P7">
        <v>-10.3573180532508</v>
      </c>
      <c r="R7" t="s">
        <v>5</v>
      </c>
    </row>
    <row r="8" spans="1:18" x14ac:dyDescent="0.35">
      <c r="A8" t="s">
        <v>276</v>
      </c>
      <c r="B8" t="s">
        <v>277</v>
      </c>
      <c r="C8">
        <v>0</v>
      </c>
      <c r="D8">
        <v>3.6675140155423298</v>
      </c>
      <c r="E8">
        <v>135.35589631450199</v>
      </c>
      <c r="F8">
        <v>1.0809828030548501</v>
      </c>
      <c r="G8">
        <v>138.37993209355901</v>
      </c>
      <c r="H8">
        <v>4.5</v>
      </c>
      <c r="I8">
        <v>-113.636363636363</v>
      </c>
      <c r="J8">
        <v>-4.5</v>
      </c>
      <c r="K8">
        <v>-106.38297872340399</v>
      </c>
      <c r="L8">
        <v>3.9685621023246398</v>
      </c>
      <c r="M8">
        <v>-3.9685621023246398</v>
      </c>
      <c r="N8">
        <v>0.54700472281210899</v>
      </c>
      <c r="O8">
        <v>0.45299527718789001</v>
      </c>
      <c r="P8">
        <v>-1.6930648832023301</v>
      </c>
      <c r="Q8">
        <v>-17.588963453670299</v>
      </c>
    </row>
    <row r="9" spans="1:18" x14ac:dyDescent="0.35">
      <c r="A9" t="s">
        <v>30</v>
      </c>
      <c r="B9" t="s">
        <v>111</v>
      </c>
      <c r="C9">
        <v>3</v>
      </c>
      <c r="D9">
        <v>-3.8117265488227901</v>
      </c>
      <c r="E9">
        <v>134.69488363305899</v>
      </c>
      <c r="F9">
        <v>-2.4669533156414598</v>
      </c>
      <c r="G9">
        <v>133.47932632746901</v>
      </c>
      <c r="H9">
        <v>-5.5</v>
      </c>
      <c r="I9">
        <v>-104.166666666666</v>
      </c>
      <c r="J9">
        <v>5.5</v>
      </c>
      <c r="K9">
        <v>-117.64705882352899</v>
      </c>
      <c r="L9">
        <v>-4.9098349830580297</v>
      </c>
      <c r="M9">
        <v>4.9098349830580297</v>
      </c>
      <c r="N9">
        <v>0.44782920167329199</v>
      </c>
      <c r="O9">
        <v>0.55217079832670701</v>
      </c>
      <c r="P9">
        <v>-17.747184455301699</v>
      </c>
      <c r="Q9">
        <v>-2.3266943262920199</v>
      </c>
      <c r="R9" t="s">
        <v>5</v>
      </c>
    </row>
    <row r="10" spans="1:18" x14ac:dyDescent="0.35">
      <c r="A10" t="s">
        <v>278</v>
      </c>
      <c r="B10" t="s">
        <v>211</v>
      </c>
      <c r="C10">
        <v>0</v>
      </c>
      <c r="D10">
        <v>10.5190327802826</v>
      </c>
      <c r="E10">
        <v>137.55332853937099</v>
      </c>
      <c r="F10">
        <v>5.0914241302195196</v>
      </c>
      <c r="G10">
        <v>142.50911460324801</v>
      </c>
      <c r="H10">
        <v>7.5</v>
      </c>
      <c r="I10">
        <v>-105.263157894736</v>
      </c>
      <c r="J10">
        <v>-7.5</v>
      </c>
      <c r="K10">
        <v>-114.942528735632</v>
      </c>
      <c r="L10">
        <v>7.5763071138127698</v>
      </c>
      <c r="M10">
        <v>-7.5763071138127698</v>
      </c>
      <c r="N10">
        <v>0.49323540552288803</v>
      </c>
      <c r="O10">
        <v>0.50676459447711097</v>
      </c>
      <c r="P10">
        <v>-8.8867418678079204</v>
      </c>
      <c r="Q10">
        <v>-10.167374888008901</v>
      </c>
    </row>
    <row r="11" spans="1:18" x14ac:dyDescent="0.35">
      <c r="A11" t="s">
        <v>279</v>
      </c>
      <c r="B11" t="s">
        <v>280</v>
      </c>
      <c r="C11">
        <v>0</v>
      </c>
      <c r="D11">
        <v>2.5043113110581801</v>
      </c>
      <c r="E11">
        <v>120.77047662157401</v>
      </c>
      <c r="F11">
        <v>0.53483618533314403</v>
      </c>
      <c r="G11">
        <v>123.809959635266</v>
      </c>
      <c r="H11">
        <v>5.5</v>
      </c>
      <c r="I11">
        <v>-120.481927710843</v>
      </c>
      <c r="L11">
        <v>4.50489343704891</v>
      </c>
      <c r="N11">
        <v>0.587506259577391</v>
      </c>
      <c r="P11">
        <v>3.3887080984366298</v>
      </c>
      <c r="R11" t="s">
        <v>4</v>
      </c>
    </row>
    <row r="12" spans="1:18" x14ac:dyDescent="0.35">
      <c r="A12" t="s">
        <v>166</v>
      </c>
      <c r="B12" t="s">
        <v>172</v>
      </c>
      <c r="C12">
        <v>3</v>
      </c>
      <c r="D12">
        <v>-6.2868670468858197</v>
      </c>
      <c r="E12">
        <v>138.696580161681</v>
      </c>
      <c r="F12">
        <v>-5.2294356656696701</v>
      </c>
      <c r="G12">
        <v>136.963690319557</v>
      </c>
      <c r="H12">
        <v>-4.5</v>
      </c>
      <c r="I12">
        <v>-109.890109890109</v>
      </c>
      <c r="J12">
        <v>4.5</v>
      </c>
      <c r="K12">
        <v>-109.890109890109</v>
      </c>
      <c r="L12">
        <v>-4.8145378390694296</v>
      </c>
      <c r="M12">
        <v>4.8145378390694296</v>
      </c>
      <c r="N12">
        <v>0.52786229795180895</v>
      </c>
      <c r="O12">
        <v>0.47213770204819</v>
      </c>
      <c r="P12">
        <v>-3.8996781116863701</v>
      </c>
      <c r="Q12">
        <v>-15.1003218883136</v>
      </c>
    </row>
    <row r="13" spans="1:18" x14ac:dyDescent="0.35">
      <c r="A13" t="s">
        <v>183</v>
      </c>
      <c r="B13" t="s">
        <v>168</v>
      </c>
      <c r="C13">
        <v>3</v>
      </c>
      <c r="D13">
        <v>-0.60081188496581195</v>
      </c>
      <c r="E13">
        <v>138.343927252025</v>
      </c>
      <c r="F13">
        <v>-3.0419359569164999</v>
      </c>
      <c r="G13">
        <v>140.69229695847599</v>
      </c>
      <c r="J13">
        <v>-3.5</v>
      </c>
      <c r="K13">
        <v>-105.263157894736</v>
      </c>
      <c r="M13">
        <v>-2.1696565197647</v>
      </c>
      <c r="O13">
        <v>0.38375561057115698</v>
      </c>
      <c r="Q13">
        <v>-31.330099832912602</v>
      </c>
      <c r="R13" t="s">
        <v>4</v>
      </c>
    </row>
    <row r="16" spans="1:18" x14ac:dyDescent="0.35">
      <c r="A16" t="s">
        <v>17</v>
      </c>
      <c r="B16" t="s">
        <v>18</v>
      </c>
      <c r="C16" t="s">
        <v>240</v>
      </c>
      <c r="D16" t="s">
        <v>19</v>
      </c>
      <c r="E16" t="s">
        <v>20</v>
      </c>
      <c r="F16" t="s">
        <v>21</v>
      </c>
      <c r="G16" t="s">
        <v>22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  <c r="P16" t="s">
        <v>72</v>
      </c>
      <c r="Q16" t="s">
        <v>73</v>
      </c>
    </row>
    <row r="17" spans="1:18" x14ac:dyDescent="0.35">
      <c r="A17" t="s">
        <v>155</v>
      </c>
      <c r="B17" t="s">
        <v>109</v>
      </c>
      <c r="C17">
        <v>3</v>
      </c>
      <c r="D17">
        <v>-6.0606526934971496</v>
      </c>
      <c r="E17">
        <v>134.89151528393401</v>
      </c>
      <c r="F17">
        <v>-6.6561889995089603</v>
      </c>
      <c r="G17">
        <v>134.420722122977</v>
      </c>
      <c r="H17">
        <v>-7.5</v>
      </c>
      <c r="I17">
        <v>-117.64705882352899</v>
      </c>
      <c r="J17">
        <v>7.5</v>
      </c>
      <c r="K17">
        <v>-104.166666666666</v>
      </c>
      <c r="L17">
        <v>-7.2146052116257602</v>
      </c>
      <c r="M17">
        <v>7.2146052116257602</v>
      </c>
      <c r="N17">
        <v>0.47471560715060301</v>
      </c>
      <c r="O17">
        <v>0.52528439284939599</v>
      </c>
      <c r="P17">
        <v>-17.430456605632301</v>
      </c>
      <c r="Q17">
        <v>-1.7914150730242699</v>
      </c>
      <c r="R17" t="s">
        <v>5</v>
      </c>
    </row>
    <row r="18" spans="1:18" x14ac:dyDescent="0.35">
      <c r="A18" t="s">
        <v>123</v>
      </c>
      <c r="B18" t="s">
        <v>45</v>
      </c>
      <c r="C18">
        <v>3</v>
      </c>
      <c r="D18">
        <v>12.4149963969371</v>
      </c>
      <c r="E18">
        <v>133.140821453027</v>
      </c>
      <c r="F18">
        <v>7.39659719595568</v>
      </c>
      <c r="G18">
        <v>137.213452602882</v>
      </c>
      <c r="H18">
        <v>7.5</v>
      </c>
      <c r="I18">
        <v>-105.263157894736</v>
      </c>
      <c r="J18">
        <v>-7.5</v>
      </c>
      <c r="K18">
        <v>-114.942528735632</v>
      </c>
      <c r="L18">
        <v>8.1014491991116007</v>
      </c>
      <c r="M18">
        <v>-8.1014491991116007</v>
      </c>
      <c r="N18">
        <v>0.446837546003928</v>
      </c>
      <c r="O18">
        <v>0.553162453996071</v>
      </c>
      <c r="P18">
        <v>-18.398303069194501</v>
      </c>
      <c r="Q18">
        <v>-1.0269965627739801</v>
      </c>
      <c r="R18" t="s">
        <v>5</v>
      </c>
    </row>
    <row r="19" spans="1:18" x14ac:dyDescent="0.35">
      <c r="A19" t="s">
        <v>275</v>
      </c>
      <c r="B19" t="s">
        <v>257</v>
      </c>
      <c r="C19">
        <v>0</v>
      </c>
      <c r="D19">
        <v>-21.301821520827701</v>
      </c>
      <c r="E19">
        <v>148.101515513891</v>
      </c>
      <c r="F19">
        <v>-12.1605762974716</v>
      </c>
      <c r="G19">
        <v>138.78521131121599</v>
      </c>
      <c r="H19">
        <v>-15.5</v>
      </c>
      <c r="I19">
        <v>-109.890109890109</v>
      </c>
      <c r="J19">
        <v>15.5</v>
      </c>
      <c r="K19">
        <v>-109.890109890109</v>
      </c>
      <c r="L19">
        <v>-15.807799727287399</v>
      </c>
      <c r="M19">
        <v>15.807799727287399</v>
      </c>
      <c r="N19">
        <v>0.52726636496354395</v>
      </c>
      <c r="O19">
        <v>0.47273363503645499</v>
      </c>
      <c r="P19">
        <v>-4.0194606423276404</v>
      </c>
      <c r="Q19">
        <v>-14.980539357672299</v>
      </c>
    </row>
    <row r="20" spans="1:18" x14ac:dyDescent="0.35">
      <c r="A20" t="s">
        <v>50</v>
      </c>
      <c r="B20" t="s">
        <v>154</v>
      </c>
      <c r="C20">
        <v>3</v>
      </c>
      <c r="D20">
        <v>-6.7296384063046002</v>
      </c>
      <c r="E20">
        <v>145.71891932777001</v>
      </c>
      <c r="F20">
        <v>-6.08051021295549</v>
      </c>
      <c r="G20">
        <v>144.66353299834901</v>
      </c>
      <c r="H20">
        <v>-7.5</v>
      </c>
      <c r="I20">
        <v>-114.942528735632</v>
      </c>
      <c r="J20">
        <v>7.5</v>
      </c>
      <c r="K20">
        <v>-105.263157894736</v>
      </c>
      <c r="L20">
        <v>-7.2262685774075104</v>
      </c>
      <c r="M20">
        <v>7.2262685774075104</v>
      </c>
      <c r="N20">
        <v>0.47574761556944301</v>
      </c>
      <c r="O20">
        <v>0.524252384430556</v>
      </c>
      <c r="P20">
        <v>-16.277719732819499</v>
      </c>
      <c r="Q20">
        <v>-2.5282611917360001</v>
      </c>
      <c r="R20" t="s">
        <v>4</v>
      </c>
    </row>
    <row r="21" spans="1:18" x14ac:dyDescent="0.35">
      <c r="A21" t="s">
        <v>210</v>
      </c>
      <c r="B21" t="s">
        <v>214</v>
      </c>
      <c r="C21">
        <v>0</v>
      </c>
      <c r="D21">
        <v>-0.74648206031716902</v>
      </c>
      <c r="E21">
        <v>126.45849536140599</v>
      </c>
      <c r="F21">
        <v>0.506164953854226</v>
      </c>
      <c r="G21">
        <v>123.709727639135</v>
      </c>
      <c r="H21">
        <v>-3.5</v>
      </c>
      <c r="I21">
        <v>-114.942528735632</v>
      </c>
      <c r="J21">
        <v>3.5</v>
      </c>
      <c r="K21">
        <v>-105.263157894736</v>
      </c>
      <c r="L21">
        <v>-2.6550396383078598</v>
      </c>
      <c r="M21">
        <v>2.6550396383078598</v>
      </c>
      <c r="N21">
        <v>0.425528881000169</v>
      </c>
      <c r="O21">
        <v>0.57447111899983005</v>
      </c>
      <c r="P21">
        <v>-26.170810442966602</v>
      </c>
      <c r="Q21">
        <v>7.7665793949653397</v>
      </c>
      <c r="R21" t="s">
        <v>5</v>
      </c>
    </row>
    <row r="22" spans="1:18" x14ac:dyDescent="0.35">
      <c r="A22" t="s">
        <v>88</v>
      </c>
      <c r="B22" t="s">
        <v>158</v>
      </c>
      <c r="C22">
        <v>3</v>
      </c>
      <c r="D22">
        <v>10.850626039965601</v>
      </c>
      <c r="E22">
        <v>125.642317668817</v>
      </c>
      <c r="F22">
        <v>6.1447698933380996</v>
      </c>
      <c r="G22">
        <v>130.68799615327799</v>
      </c>
      <c r="H22">
        <v>5.5</v>
      </c>
      <c r="I22">
        <v>-109.890109890109</v>
      </c>
      <c r="L22">
        <v>6.2494244916629702</v>
      </c>
      <c r="N22">
        <v>0.433866485222274</v>
      </c>
      <c r="P22">
        <v>-22.792836470322701</v>
      </c>
      <c r="R22" t="s">
        <v>5</v>
      </c>
    </row>
    <row r="23" spans="1:18" x14ac:dyDescent="0.35">
      <c r="A23" t="s">
        <v>276</v>
      </c>
      <c r="B23" t="s">
        <v>277</v>
      </c>
      <c r="C23">
        <v>0</v>
      </c>
      <c r="D23">
        <v>5.9350638008112302</v>
      </c>
      <c r="E23">
        <v>136.18888945523</v>
      </c>
      <c r="F23">
        <v>3.85734447850664</v>
      </c>
      <c r="G23">
        <v>136.884089396392</v>
      </c>
      <c r="H23">
        <v>4.5</v>
      </c>
      <c r="I23">
        <v>-113.636363636363</v>
      </c>
      <c r="J23">
        <v>-4.5</v>
      </c>
      <c r="K23">
        <v>-106.38297872340399</v>
      </c>
      <c r="L23">
        <v>4.59905103491473</v>
      </c>
      <c r="M23">
        <v>-4.59905103491473</v>
      </c>
      <c r="N23">
        <v>0.491219454423515</v>
      </c>
      <c r="O23">
        <v>0.508780545576484</v>
      </c>
      <c r="P23">
        <v>-12.738548024143901</v>
      </c>
      <c r="Q23">
        <v>-6.2087687023970997</v>
      </c>
    </row>
    <row r="24" spans="1:18" x14ac:dyDescent="0.35">
      <c r="A24" t="s">
        <v>30</v>
      </c>
      <c r="B24" t="s">
        <v>111</v>
      </c>
      <c r="C24">
        <v>3</v>
      </c>
      <c r="D24">
        <v>-3.69408868980645</v>
      </c>
      <c r="E24">
        <v>134.31709617842299</v>
      </c>
      <c r="F24">
        <v>-2.0219383345181901</v>
      </c>
      <c r="G24">
        <v>133.319750899772</v>
      </c>
      <c r="H24">
        <v>-5.5</v>
      </c>
      <c r="I24">
        <v>-104.166666666666</v>
      </c>
      <c r="J24">
        <v>5.5</v>
      </c>
      <c r="K24">
        <v>-117.64705882352899</v>
      </c>
      <c r="L24">
        <v>-4.8395033780405798</v>
      </c>
      <c r="M24">
        <v>4.8395033780405798</v>
      </c>
      <c r="N24">
        <v>0.44165400899533802</v>
      </c>
      <c r="O24">
        <v>0.55834599100466098</v>
      </c>
      <c r="P24">
        <v>-19.0192741469602</v>
      </c>
      <c r="Q24">
        <v>-1.12253175409099</v>
      </c>
      <c r="R24" t="s">
        <v>5</v>
      </c>
    </row>
    <row r="25" spans="1:18" x14ac:dyDescent="0.35">
      <c r="A25" t="s">
        <v>278</v>
      </c>
      <c r="B25" t="s">
        <v>211</v>
      </c>
      <c r="C25">
        <v>0</v>
      </c>
      <c r="D25">
        <v>13.102508007716001</v>
      </c>
      <c r="E25">
        <v>138.36606295318501</v>
      </c>
      <c r="F25">
        <v>7.6156701266462496</v>
      </c>
      <c r="G25">
        <v>143.08642405744001</v>
      </c>
      <c r="H25">
        <v>7.5</v>
      </c>
      <c r="I25">
        <v>-105.263157894736</v>
      </c>
      <c r="J25">
        <v>-7.5</v>
      </c>
      <c r="K25">
        <v>-114.942528735632</v>
      </c>
      <c r="L25">
        <v>8.2147722667952898</v>
      </c>
      <c r="M25">
        <v>-8.2147722667952898</v>
      </c>
      <c r="N25">
        <v>0.43689814369136099</v>
      </c>
      <c r="O25">
        <v>0.56310185630863796</v>
      </c>
      <c r="P25">
        <v>-20.435880543270901</v>
      </c>
      <c r="Q25">
        <v>0.93106569280184404</v>
      </c>
      <c r="R25" t="s">
        <v>4</v>
      </c>
    </row>
    <row r="26" spans="1:18" x14ac:dyDescent="0.35">
      <c r="A26" t="s">
        <v>279</v>
      </c>
      <c r="B26" t="s">
        <v>280</v>
      </c>
      <c r="C26">
        <v>0</v>
      </c>
      <c r="D26">
        <v>3.07237752981449</v>
      </c>
      <c r="E26">
        <v>121.874162722842</v>
      </c>
      <c r="F26">
        <v>1.21196062648504</v>
      </c>
      <c r="G26">
        <v>123.858923635073</v>
      </c>
      <c r="H26">
        <v>5.5</v>
      </c>
      <c r="I26">
        <v>-120.481927710843</v>
      </c>
      <c r="L26">
        <v>4.6605422695374399</v>
      </c>
      <c r="N26">
        <v>0.57399175908899602</v>
      </c>
      <c r="P26">
        <v>0.78040950417622601</v>
      </c>
      <c r="R2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9078-BF58-49EE-8B3E-D3D5502893D3}">
  <dimension ref="A1:R41"/>
  <sheetViews>
    <sheetView workbookViewId="0">
      <selection activeCell="R25" sqref="R25"/>
    </sheetView>
  </sheetViews>
  <sheetFormatPr defaultRowHeight="14.5" x14ac:dyDescent="0.35"/>
  <cols>
    <col min="1" max="1" width="15.453125" bestFit="1" customWidth="1"/>
    <col min="2" max="2" width="13.6328125" bestFit="1" customWidth="1"/>
    <col min="3" max="3" width="16.90625" hidden="1" customWidth="1"/>
    <col min="4" max="4" width="11.81640625" hidden="1" customWidth="1"/>
    <col min="5" max="5" width="11.08984375" hidden="1" customWidth="1"/>
    <col min="6" max="6" width="18.1796875" hidden="1" customWidth="1"/>
    <col min="7" max="7" width="13.6328125" customWidth="1"/>
    <col min="8" max="8" width="16.6328125" customWidth="1"/>
    <col min="9" max="9" width="13" hidden="1" customWidth="1"/>
    <col min="10" max="10" width="16" hidden="1" customWidth="1"/>
    <col min="11" max="11" width="17.1796875" hidden="1" customWidth="1"/>
    <col min="12" max="12" width="16.54296875" hidden="1" customWidth="1"/>
    <col min="13" max="13" width="10.7265625" customWidth="1"/>
    <col min="14" max="15" width="10.08984375" customWidth="1"/>
    <col min="16" max="16" width="9.453125" customWidth="1"/>
  </cols>
  <sheetData>
    <row r="1" spans="1:18" x14ac:dyDescent="0.35">
      <c r="A1" t="s">
        <v>17</v>
      </c>
      <c r="B1" t="s">
        <v>18</v>
      </c>
      <c r="C1" t="s">
        <v>240</v>
      </c>
      <c r="D1" t="s">
        <v>19</v>
      </c>
      <c r="E1" t="s">
        <v>20</v>
      </c>
      <c r="F1" t="s">
        <v>21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151</v>
      </c>
      <c r="R1" t="s">
        <v>259</v>
      </c>
    </row>
    <row r="2" spans="1:18" x14ac:dyDescent="0.35">
      <c r="A2" t="s">
        <v>32</v>
      </c>
      <c r="B2" t="s">
        <v>23</v>
      </c>
      <c r="C2">
        <v>3</v>
      </c>
      <c r="D2">
        <v>2.1396842660899602</v>
      </c>
      <c r="E2">
        <v>126.86214149329901</v>
      </c>
      <c r="F2">
        <v>-0.70757556308974201</v>
      </c>
      <c r="G2">
        <v>7.5</v>
      </c>
      <c r="H2">
        <v>-114.942528735632</v>
      </c>
      <c r="I2">
        <v>-7.5</v>
      </c>
      <c r="J2">
        <v>-105.263157894736</v>
      </c>
      <c r="K2">
        <v>5.8040135878750201</v>
      </c>
      <c r="L2">
        <v>-5.8040135878750201</v>
      </c>
      <c r="M2">
        <v>0.64687078847453805</v>
      </c>
      <c r="N2">
        <v>0.35312921152546101</v>
      </c>
      <c r="O2">
        <v>17.433545329484101</v>
      </c>
      <c r="P2">
        <v>-37.608511637280401</v>
      </c>
      <c r="Q2">
        <f>MAX(Table3[[#This Row],[EV Home]:[EV Away]])</f>
        <v>17.433545329484101</v>
      </c>
      <c r="R2" t="s">
        <v>5</v>
      </c>
    </row>
    <row r="3" spans="1:18" x14ac:dyDescent="0.35">
      <c r="A3" t="s">
        <v>28</v>
      </c>
      <c r="B3" t="s">
        <v>8</v>
      </c>
      <c r="C3">
        <v>3</v>
      </c>
      <c r="D3">
        <v>6.08886756148733</v>
      </c>
      <c r="E3">
        <v>135.09118863881801</v>
      </c>
      <c r="F3">
        <v>3.8455760579513099</v>
      </c>
      <c r="G3">
        <v>11.5</v>
      </c>
      <c r="H3">
        <v>-120.481927710843</v>
      </c>
      <c r="I3">
        <v>-11.5</v>
      </c>
      <c r="J3">
        <v>-102.04081632653001</v>
      </c>
      <c r="K3">
        <v>9.8668054524298299</v>
      </c>
      <c r="L3">
        <v>-9.8668054524298299</v>
      </c>
      <c r="M3">
        <v>0.641672204610644</v>
      </c>
      <c r="N3">
        <v>0.358327795389355</v>
      </c>
      <c r="O3">
        <v>13.8427354898543</v>
      </c>
      <c r="P3">
        <v>-35.467818559013999</v>
      </c>
      <c r="Q3">
        <f>MAX(Table3[[#This Row],[EV Home]:[EV Away]])</f>
        <v>13.8427354898543</v>
      </c>
      <c r="R3" t="s">
        <v>5</v>
      </c>
    </row>
    <row r="4" spans="1:18" x14ac:dyDescent="0.35">
      <c r="A4" t="s">
        <v>121</v>
      </c>
      <c r="B4" t="s">
        <v>136</v>
      </c>
      <c r="C4">
        <v>3</v>
      </c>
      <c r="D4">
        <v>-9.54099399454498</v>
      </c>
      <c r="E4">
        <v>140.602204099256</v>
      </c>
      <c r="F4">
        <v>-6.1261307040213797</v>
      </c>
      <c r="G4">
        <v>-11.5</v>
      </c>
      <c r="H4">
        <v>-117.64705882352899</v>
      </c>
      <c r="I4">
        <v>11.5</v>
      </c>
      <c r="J4">
        <v>-104.166666666666</v>
      </c>
      <c r="K4">
        <v>-10.5833905873207</v>
      </c>
      <c r="L4">
        <v>10.5833905873207</v>
      </c>
      <c r="M4">
        <v>0.41929749544042</v>
      </c>
      <c r="N4">
        <v>0.58070250455957995</v>
      </c>
      <c r="O4">
        <v>-28.236988389118</v>
      </c>
      <c r="P4">
        <v>9.6247159392734591</v>
      </c>
      <c r="Q4">
        <f>MAX(Table3[[#This Row],[EV Home]:[EV Away]])</f>
        <v>9.6247159392734591</v>
      </c>
      <c r="R4" t="s">
        <v>4</v>
      </c>
    </row>
    <row r="5" spans="1:18" x14ac:dyDescent="0.35">
      <c r="A5" t="s">
        <v>26</v>
      </c>
      <c r="B5" t="s">
        <v>41</v>
      </c>
      <c r="C5">
        <v>3</v>
      </c>
      <c r="D5">
        <v>-9.6353331274281899</v>
      </c>
      <c r="E5">
        <v>139.08842684115601</v>
      </c>
      <c r="F5">
        <v>-6.6789115547122799</v>
      </c>
      <c r="G5">
        <v>-11.5</v>
      </c>
      <c r="H5">
        <v>-117.64705882352899</v>
      </c>
      <c r="I5">
        <v>11.5</v>
      </c>
      <c r="J5">
        <v>-104.166666666666</v>
      </c>
      <c r="K5">
        <v>-10.6642805852675</v>
      </c>
      <c r="L5">
        <v>10.6642805852675</v>
      </c>
      <c r="M5">
        <v>0.426333965483778</v>
      </c>
      <c r="N5">
        <v>0.573666034516221</v>
      </c>
      <c r="O5">
        <v>-26.864876730663202</v>
      </c>
      <c r="P5">
        <v>8.1752031103416503</v>
      </c>
      <c r="Q5">
        <f>MAX(Table3[[#This Row],[EV Home]:[EV Away]])</f>
        <v>8.1752031103416503</v>
      </c>
      <c r="R5" t="s">
        <v>4</v>
      </c>
    </row>
    <row r="6" spans="1:18" x14ac:dyDescent="0.35">
      <c r="A6" t="s">
        <v>44</v>
      </c>
      <c r="B6" t="s">
        <v>35</v>
      </c>
      <c r="C6">
        <v>3</v>
      </c>
      <c r="D6">
        <v>-3.5499879171239201</v>
      </c>
      <c r="E6">
        <v>136.365682977587</v>
      </c>
      <c r="F6">
        <v>-5.5495553232372803</v>
      </c>
      <c r="G6">
        <v>-1.5</v>
      </c>
      <c r="H6">
        <v>-102.04081632653001</v>
      </c>
      <c r="I6">
        <v>1.5</v>
      </c>
      <c r="J6">
        <v>-120.481927710843</v>
      </c>
      <c r="K6">
        <v>-2.26244290504515</v>
      </c>
      <c r="L6">
        <v>2.26244290504515</v>
      </c>
      <c r="M6">
        <v>0.56727147681455703</v>
      </c>
      <c r="N6">
        <v>0.43272852318544203</v>
      </c>
      <c r="O6">
        <v>7.9924671774278604</v>
      </c>
      <c r="P6">
        <v>-26.4833950252095</v>
      </c>
      <c r="Q6">
        <f>MAX(Table3[[#This Row],[EV Home]:[EV Away]])</f>
        <v>7.9924671774278604</v>
      </c>
      <c r="R6" t="s">
        <v>5</v>
      </c>
    </row>
    <row r="7" spans="1:18" x14ac:dyDescent="0.35">
      <c r="A7" t="s">
        <v>247</v>
      </c>
      <c r="B7" t="s">
        <v>122</v>
      </c>
      <c r="C7">
        <v>3</v>
      </c>
      <c r="D7">
        <v>-7.1844651251090399</v>
      </c>
      <c r="E7">
        <v>138.82772772813399</v>
      </c>
      <c r="F7">
        <v>-5.1154300341388703</v>
      </c>
      <c r="G7">
        <v>-9.5</v>
      </c>
      <c r="H7">
        <v>-112.35955056179699</v>
      </c>
      <c r="I7">
        <v>9.5</v>
      </c>
      <c r="J7">
        <v>-107.52688172043</v>
      </c>
      <c r="K7">
        <v>-8.6624868949059799</v>
      </c>
      <c r="L7">
        <v>8.6624868949059799</v>
      </c>
      <c r="M7">
        <v>0.42617767249916599</v>
      </c>
      <c r="N7">
        <v>0.57382232750083295</v>
      </c>
      <c r="O7">
        <v>-25.190643172665801</v>
      </c>
      <c r="P7">
        <v>6.48593248266919</v>
      </c>
      <c r="Q7">
        <f>MAX(Table3[[#This Row],[EV Home]:[EV Away]])</f>
        <v>6.48593248266919</v>
      </c>
      <c r="R7" t="s">
        <v>5</v>
      </c>
    </row>
    <row r="8" spans="1:18" x14ac:dyDescent="0.35">
      <c r="A8" t="s">
        <v>119</v>
      </c>
      <c r="B8" t="s">
        <v>25</v>
      </c>
      <c r="C8">
        <v>3</v>
      </c>
      <c r="D8">
        <v>4.7530957182337303</v>
      </c>
      <c r="E8">
        <v>131.712923306813</v>
      </c>
      <c r="F8">
        <v>2.9446181569630099</v>
      </c>
      <c r="G8">
        <v>6.5</v>
      </c>
      <c r="H8">
        <v>-102.04081632653001</v>
      </c>
      <c r="I8">
        <v>-6.5</v>
      </c>
      <c r="J8">
        <v>-120.481927710843</v>
      </c>
      <c r="K8">
        <v>5.8372142343995899</v>
      </c>
      <c r="L8">
        <v>-5.8372142343995899</v>
      </c>
      <c r="M8">
        <v>0.55854675057354297</v>
      </c>
      <c r="N8">
        <v>0.44145324942645597</v>
      </c>
      <c r="O8">
        <v>6.1777241192971104</v>
      </c>
      <c r="P8">
        <v>-24.799522860693902</v>
      </c>
      <c r="Q8">
        <f>MAX(Table3[[#This Row],[EV Home]:[EV Away]])</f>
        <v>6.1777241192971104</v>
      </c>
      <c r="R8" t="s">
        <v>5</v>
      </c>
    </row>
    <row r="9" spans="1:18" x14ac:dyDescent="0.35">
      <c r="A9" t="s">
        <v>248</v>
      </c>
      <c r="B9" t="s">
        <v>53</v>
      </c>
      <c r="C9">
        <v>3</v>
      </c>
      <c r="D9">
        <v>-25.169618545091598</v>
      </c>
      <c r="E9">
        <v>146.85861467840499</v>
      </c>
      <c r="F9">
        <v>-13.993468136828101</v>
      </c>
      <c r="G9">
        <v>-22.5</v>
      </c>
      <c r="H9">
        <v>-114.942528735632</v>
      </c>
      <c r="I9">
        <v>22.5</v>
      </c>
      <c r="J9">
        <v>-105.263157894736</v>
      </c>
      <c r="K9">
        <v>-21.7703858352399</v>
      </c>
      <c r="L9">
        <v>21.7703858352399</v>
      </c>
      <c r="M9">
        <v>0.435599189265024</v>
      </c>
      <c r="N9">
        <v>0.56440081073497494</v>
      </c>
      <c r="O9">
        <v>-24.186959714790198</v>
      </c>
      <c r="P9">
        <v>5.7021662006700202</v>
      </c>
      <c r="Q9">
        <f>MAX(Table3[[#This Row],[EV Home]:[EV Away]])</f>
        <v>5.7021662006700202</v>
      </c>
      <c r="R9" t="s">
        <v>5</v>
      </c>
    </row>
    <row r="10" spans="1:18" x14ac:dyDescent="0.35">
      <c r="A10" t="s">
        <v>103</v>
      </c>
      <c r="B10" t="s">
        <v>104</v>
      </c>
      <c r="C10">
        <v>3</v>
      </c>
      <c r="D10">
        <v>-9.2894798715099896</v>
      </c>
      <c r="E10">
        <v>139.518497080115</v>
      </c>
      <c r="F10">
        <v>-8.0929919681384206</v>
      </c>
      <c r="G10">
        <v>-12.5</v>
      </c>
      <c r="H10">
        <v>-106.38297872340399</v>
      </c>
      <c r="I10">
        <v>12.5</v>
      </c>
      <c r="J10">
        <v>-113.636363636363</v>
      </c>
      <c r="K10">
        <v>-11.547808979956001</v>
      </c>
      <c r="L10">
        <v>11.547808979956001</v>
      </c>
      <c r="M10">
        <v>0.41621033314814099</v>
      </c>
      <c r="N10">
        <v>0.58378966685185796</v>
      </c>
      <c r="O10">
        <v>-25.093092037779101</v>
      </c>
      <c r="P10">
        <v>5.5903540366679296</v>
      </c>
      <c r="Q10">
        <f>MAX(Table3[[#This Row],[EV Home]:[EV Away]])</f>
        <v>5.5903540366679296</v>
      </c>
      <c r="R10" t="s">
        <v>5</v>
      </c>
    </row>
    <row r="11" spans="1:18" x14ac:dyDescent="0.35">
      <c r="A11" t="s">
        <v>162</v>
      </c>
      <c r="B11" t="s">
        <v>156</v>
      </c>
      <c r="C11">
        <v>3</v>
      </c>
      <c r="D11">
        <v>14.213790915532799</v>
      </c>
      <c r="E11">
        <v>120.587594615087</v>
      </c>
      <c r="F11">
        <v>6.3164770172750204</v>
      </c>
      <c r="G11">
        <v>12.5</v>
      </c>
      <c r="H11">
        <v>-107.52688172043</v>
      </c>
      <c r="I11">
        <v>-12.5</v>
      </c>
      <c r="J11">
        <v>-112.35955056179699</v>
      </c>
      <c r="K11">
        <v>11.941283491600901</v>
      </c>
      <c r="L11">
        <v>-11.941283491600901</v>
      </c>
      <c r="M11">
        <v>0.54940539658802801</v>
      </c>
      <c r="N11">
        <v>0.450594603411971</v>
      </c>
      <c r="O11">
        <v>1.52929550736985</v>
      </c>
      <c r="P11">
        <v>-20.3316739210177</v>
      </c>
      <c r="Q11">
        <f>MAX(Table3[[#This Row],[EV Home]:[EV Away]])</f>
        <v>1.52929550736985</v>
      </c>
      <c r="R11" t="s">
        <v>4</v>
      </c>
    </row>
    <row r="12" spans="1:18" x14ac:dyDescent="0.35">
      <c r="A12" t="s">
        <v>58</v>
      </c>
      <c r="B12" t="s">
        <v>242</v>
      </c>
      <c r="C12">
        <v>3</v>
      </c>
      <c r="D12">
        <v>7.5498054059153397</v>
      </c>
      <c r="E12">
        <v>138.82738190003101</v>
      </c>
      <c r="F12">
        <v>6.50421131806256</v>
      </c>
      <c r="G12">
        <v>9.5</v>
      </c>
      <c r="H12">
        <v>-109.890109890109</v>
      </c>
      <c r="I12">
        <v>-9.5</v>
      </c>
      <c r="J12">
        <v>-109.890109890109</v>
      </c>
      <c r="K12">
        <v>8.8817520904972298</v>
      </c>
      <c r="L12">
        <v>-8.8817520904972298</v>
      </c>
      <c r="M12">
        <v>0.55463810983605</v>
      </c>
      <c r="N12">
        <v>0.445361890163949</v>
      </c>
      <c r="O12">
        <v>1.4822600770461101</v>
      </c>
      <c r="P12">
        <v>-20.482260077046099</v>
      </c>
      <c r="Q12">
        <f>MAX(Table3[[#This Row],[EV Home]:[EV Away]])</f>
        <v>1.4822600770461101</v>
      </c>
      <c r="R12" t="s">
        <v>5</v>
      </c>
    </row>
    <row r="13" spans="1:18" x14ac:dyDescent="0.35">
      <c r="A13" t="s">
        <v>114</v>
      </c>
      <c r="B13" t="s">
        <v>57</v>
      </c>
      <c r="C13">
        <v>3</v>
      </c>
      <c r="D13">
        <v>-17.465849868612999</v>
      </c>
      <c r="E13">
        <v>140.01481886973301</v>
      </c>
      <c r="F13">
        <v>-11.2782339613192</v>
      </c>
      <c r="G13">
        <v>-17.5</v>
      </c>
      <c r="H13">
        <v>-104.166666666666</v>
      </c>
      <c r="I13">
        <v>17.5</v>
      </c>
      <c r="J13">
        <v>-117.64705882352899</v>
      </c>
      <c r="K13">
        <v>-16.718010478741501</v>
      </c>
      <c r="L13">
        <v>16.718010478741501</v>
      </c>
      <c r="M13">
        <v>0.43102096976714399</v>
      </c>
      <c r="N13">
        <v>0.56897903023285501</v>
      </c>
      <c r="O13">
        <v>-21.2096802279682</v>
      </c>
      <c r="P13">
        <v>0.95091089540679197</v>
      </c>
      <c r="Q13">
        <f>MAX(Table3[[#This Row],[EV Home]:[EV Away]])</f>
        <v>0.95091089540679197</v>
      </c>
      <c r="R13" t="s">
        <v>5</v>
      </c>
    </row>
    <row r="14" spans="1:18" x14ac:dyDescent="0.35">
      <c r="A14" t="s">
        <v>254</v>
      </c>
      <c r="B14" t="s">
        <v>255</v>
      </c>
      <c r="C14">
        <v>3</v>
      </c>
      <c r="D14">
        <v>-4.7642039173154096</v>
      </c>
      <c r="E14">
        <v>132.207879260298</v>
      </c>
      <c r="F14">
        <v>-4.1277481236103801</v>
      </c>
      <c r="I14">
        <v>6.5</v>
      </c>
      <c r="J14">
        <v>-107.52688172043</v>
      </c>
      <c r="L14">
        <v>5.9864940051157198</v>
      </c>
      <c r="N14">
        <v>0.545425670836715</v>
      </c>
      <c r="P14">
        <v>0.72141117985327696</v>
      </c>
      <c r="Q14">
        <f>MAX(Table3[[#This Row],[EV Home]:[EV Away]])</f>
        <v>0.72141117985327696</v>
      </c>
      <c r="R14" t="s">
        <v>5</v>
      </c>
    </row>
    <row r="15" spans="1:18" x14ac:dyDescent="0.35">
      <c r="A15" t="s">
        <v>48</v>
      </c>
      <c r="B15" t="s">
        <v>120</v>
      </c>
      <c r="C15">
        <v>3</v>
      </c>
      <c r="D15">
        <v>-9.5969745507714901</v>
      </c>
      <c r="E15">
        <v>141.06490260101401</v>
      </c>
      <c r="F15">
        <v>-8.0286332873070894</v>
      </c>
      <c r="G15">
        <v>-10.5</v>
      </c>
      <c r="H15">
        <v>-117.64705882352899</v>
      </c>
      <c r="I15">
        <v>10.5</v>
      </c>
      <c r="J15">
        <v>-104.166666666666</v>
      </c>
      <c r="K15">
        <v>-10.078200979759799</v>
      </c>
      <c r="L15">
        <v>10.078200979759799</v>
      </c>
      <c r="M15">
        <v>0.46266058181129199</v>
      </c>
      <c r="N15">
        <v>0.53733941818870701</v>
      </c>
      <c r="O15">
        <v>-19.781186546797901</v>
      </c>
      <c r="P15">
        <v>0.69192014687369796</v>
      </c>
      <c r="Q15">
        <f>MAX(Table3[[#This Row],[EV Home]:[EV Away]])</f>
        <v>0.69192014687369796</v>
      </c>
      <c r="R15" t="s">
        <v>5</v>
      </c>
    </row>
    <row r="16" spans="1:18" x14ac:dyDescent="0.35">
      <c r="A16" t="s">
        <v>251</v>
      </c>
      <c r="B16" t="s">
        <v>163</v>
      </c>
      <c r="C16">
        <v>3</v>
      </c>
      <c r="D16">
        <v>3.2827912985798702</v>
      </c>
      <c r="E16">
        <v>126.14881422196601</v>
      </c>
      <c r="F16">
        <v>-0.36662510999228998</v>
      </c>
      <c r="G16">
        <v>3.5</v>
      </c>
      <c r="H16">
        <v>-107.52688172043</v>
      </c>
      <c r="I16">
        <v>-3.5</v>
      </c>
      <c r="J16">
        <v>-112.35955056179699</v>
      </c>
      <c r="K16">
        <v>2.9895207735734401</v>
      </c>
      <c r="L16">
        <v>-2.9895207735734401</v>
      </c>
      <c r="M16">
        <v>0.54515906738344699</v>
      </c>
      <c r="N16">
        <v>0.45484093261655201</v>
      </c>
      <c r="O16">
        <v>0.66729067883991799</v>
      </c>
      <c r="P16">
        <v>-19.486654409306102</v>
      </c>
      <c r="Q16">
        <f>MAX(Table3[[#This Row],[EV Home]:[EV Away]])</f>
        <v>0.66729067883991799</v>
      </c>
      <c r="R16" t="s">
        <v>5</v>
      </c>
    </row>
    <row r="17" spans="1:18" x14ac:dyDescent="0.35">
      <c r="A17" t="s">
        <v>115</v>
      </c>
      <c r="B17" t="s">
        <v>129</v>
      </c>
      <c r="C17">
        <v>3</v>
      </c>
      <c r="D17">
        <v>-9.8675572902999207</v>
      </c>
      <c r="E17">
        <v>140.25181385531499</v>
      </c>
      <c r="F17">
        <v>-7.1690544455720699</v>
      </c>
      <c r="G17">
        <v>-10.5</v>
      </c>
      <c r="H17">
        <v>-109.890109890109</v>
      </c>
      <c r="I17">
        <v>10.5</v>
      </c>
      <c r="J17">
        <v>-109.890109890109</v>
      </c>
      <c r="K17">
        <v>-10.004576466984</v>
      </c>
      <c r="L17">
        <v>10.004576466984</v>
      </c>
      <c r="M17">
        <v>0.456167366301231</v>
      </c>
      <c r="N17">
        <v>0.543832633698768</v>
      </c>
      <c r="O17">
        <v>-18.3103593734524</v>
      </c>
      <c r="P17">
        <v>-0.68964062654759295</v>
      </c>
      <c r="Q17">
        <f>MAX(Table3[[#This Row],[EV Home]:[EV Away]])</f>
        <v>-0.68964062654759295</v>
      </c>
      <c r="R17" t="s">
        <v>5</v>
      </c>
    </row>
    <row r="18" spans="1:18" x14ac:dyDescent="0.35">
      <c r="A18" t="s">
        <v>106</v>
      </c>
      <c r="B18" t="s">
        <v>39</v>
      </c>
      <c r="C18">
        <v>3</v>
      </c>
      <c r="D18">
        <v>-2.76451735930097</v>
      </c>
      <c r="E18">
        <v>127.54197650117899</v>
      </c>
      <c r="F18">
        <v>-4.2548241428224403</v>
      </c>
      <c r="G18">
        <v>-2.5</v>
      </c>
      <c r="H18">
        <v>-102.04081632653001</v>
      </c>
      <c r="I18">
        <v>2.5</v>
      </c>
      <c r="J18">
        <v>-120.481927710843</v>
      </c>
      <c r="K18">
        <v>-2.7524176877654201</v>
      </c>
      <c r="L18">
        <v>2.7524176877654201</v>
      </c>
      <c r="M18">
        <v>0.52236606792986795</v>
      </c>
      <c r="N18">
        <v>0.477633932070131</v>
      </c>
      <c r="O18">
        <v>-1.3478578705873201</v>
      </c>
      <c r="P18">
        <v>-17.816651110464601</v>
      </c>
      <c r="Q18">
        <f>MAX(Table3[[#This Row],[EV Home]:[EV Away]])</f>
        <v>-1.3478578705873201</v>
      </c>
      <c r="R18" t="s">
        <v>4</v>
      </c>
    </row>
    <row r="19" spans="1:18" x14ac:dyDescent="0.35">
      <c r="A19" t="s">
        <v>108</v>
      </c>
      <c r="B19" t="s">
        <v>31</v>
      </c>
      <c r="C19">
        <v>3</v>
      </c>
      <c r="D19">
        <v>-3.8208309539303</v>
      </c>
      <c r="E19">
        <v>148.636566464993</v>
      </c>
      <c r="F19">
        <v>-3.5142446802167702</v>
      </c>
      <c r="G19">
        <v>-6.5</v>
      </c>
      <c r="H19">
        <v>-102.04081632653001</v>
      </c>
      <c r="I19">
        <v>6.5</v>
      </c>
      <c r="J19">
        <v>-120.481927710843</v>
      </c>
      <c r="K19">
        <v>-5.7918844542683798</v>
      </c>
      <c r="L19">
        <v>5.7918844542683798</v>
      </c>
      <c r="M19">
        <v>0.43748095804322601</v>
      </c>
      <c r="N19">
        <v>0.56251904195677305</v>
      </c>
      <c r="O19">
        <v>-19.003960727008799</v>
      </c>
      <c r="P19">
        <v>-1.43382490234277</v>
      </c>
      <c r="Q19">
        <f>MAX(Table3[[#This Row],[EV Home]:[EV Away]])</f>
        <v>-1.43382490234277</v>
      </c>
      <c r="R19" t="s">
        <v>4</v>
      </c>
    </row>
    <row r="20" spans="1:18" x14ac:dyDescent="0.35">
      <c r="A20" t="s">
        <v>110</v>
      </c>
      <c r="B20" t="s">
        <v>244</v>
      </c>
      <c r="C20">
        <v>3</v>
      </c>
      <c r="D20">
        <v>-9.5945000950148103</v>
      </c>
      <c r="E20">
        <v>137.184703752546</v>
      </c>
      <c r="F20">
        <v>-8.3490639723414102</v>
      </c>
      <c r="G20">
        <v>-11.5</v>
      </c>
      <c r="H20">
        <v>-104.166666666666</v>
      </c>
      <c r="I20">
        <v>11.5</v>
      </c>
      <c r="J20">
        <v>-117.64705882352899</v>
      </c>
      <c r="K20">
        <v>-10.867945508419499</v>
      </c>
      <c r="L20">
        <v>10.867945508419499</v>
      </c>
      <c r="M20">
        <v>0.44414963863652601</v>
      </c>
      <c r="N20">
        <v>0.55585036136347299</v>
      </c>
      <c r="O20">
        <v>-18.5051744408755</v>
      </c>
      <c r="P20">
        <v>-1.6091795341227</v>
      </c>
      <c r="Q20">
        <f>MAX(Table3[[#This Row],[EV Home]:[EV Away]])</f>
        <v>-1.6091795341227</v>
      </c>
      <c r="R20" t="s">
        <v>5</v>
      </c>
    </row>
    <row r="21" spans="1:18" x14ac:dyDescent="0.35">
      <c r="A21" t="s">
        <v>133</v>
      </c>
      <c r="B21" t="s">
        <v>9</v>
      </c>
      <c r="C21">
        <v>3</v>
      </c>
      <c r="D21">
        <v>6.5599902575416804</v>
      </c>
      <c r="E21">
        <v>131.074333561782</v>
      </c>
      <c r="F21">
        <v>3.9108709784043998</v>
      </c>
      <c r="G21">
        <v>3.5</v>
      </c>
      <c r="H21">
        <v>-109.890109890109</v>
      </c>
      <c r="I21">
        <v>-3.5</v>
      </c>
      <c r="J21">
        <v>-109.890109890109</v>
      </c>
      <c r="K21">
        <v>3.9338576544932602</v>
      </c>
      <c r="L21">
        <v>-3.9338576544932602</v>
      </c>
      <c r="M21">
        <v>0.46159635846781999</v>
      </c>
      <c r="N21">
        <v>0.53840364153217901</v>
      </c>
      <c r="O21">
        <v>-17.219131947967998</v>
      </c>
      <c r="P21">
        <v>-1.78086805203197</v>
      </c>
      <c r="Q21">
        <f>MAX(Table3[[#This Row],[EV Home]:[EV Away]])</f>
        <v>-1.78086805203197</v>
      </c>
      <c r="R21" t="s">
        <v>5</v>
      </c>
    </row>
    <row r="22" spans="1:18" x14ac:dyDescent="0.35">
      <c r="A22" t="s">
        <v>62</v>
      </c>
      <c r="B22" t="s">
        <v>51</v>
      </c>
      <c r="C22">
        <v>3</v>
      </c>
      <c r="D22">
        <v>-5.5224069802283404</v>
      </c>
      <c r="E22">
        <v>126.706886922229</v>
      </c>
      <c r="F22">
        <v>-3.8606279403652901</v>
      </c>
      <c r="G22">
        <v>-6.5</v>
      </c>
      <c r="H22">
        <v>-107.52688172043</v>
      </c>
      <c r="I22">
        <v>6.5</v>
      </c>
      <c r="J22">
        <v>-112.35955056179699</v>
      </c>
      <c r="K22">
        <v>-6.0478793650742002</v>
      </c>
      <c r="L22">
        <v>6.0478793650742002</v>
      </c>
      <c r="M22">
        <v>0.45998510237398998</v>
      </c>
      <c r="N22">
        <v>0.54001489762600996</v>
      </c>
      <c r="O22">
        <v>-16.623024218080001</v>
      </c>
      <c r="P22">
        <v>-2.5370353724239898</v>
      </c>
      <c r="Q22">
        <f>MAX(Table3[[#This Row],[EV Home]:[EV Away]])</f>
        <v>-2.5370353724239898</v>
      </c>
    </row>
    <row r="23" spans="1:18" x14ac:dyDescent="0.35">
      <c r="A23" t="s">
        <v>46</v>
      </c>
      <c r="B23" t="s">
        <v>49</v>
      </c>
      <c r="C23">
        <v>3</v>
      </c>
      <c r="D23">
        <v>-0.48909061971483903</v>
      </c>
      <c r="E23">
        <v>137.25309047775701</v>
      </c>
      <c r="F23">
        <v>-1.4365554566565999</v>
      </c>
      <c r="G23">
        <v>-2.5</v>
      </c>
      <c r="H23">
        <v>-109.890109890109</v>
      </c>
      <c r="I23">
        <v>2.5</v>
      </c>
      <c r="J23">
        <v>-109.890109890109</v>
      </c>
      <c r="K23">
        <v>-2.1157057595464299</v>
      </c>
      <c r="L23">
        <v>2.1157057595464299</v>
      </c>
      <c r="M23">
        <v>0.46597220532940198</v>
      </c>
      <c r="N23">
        <v>0.53402779467059702</v>
      </c>
      <c r="O23">
        <v>-16.339586728790099</v>
      </c>
      <c r="P23">
        <v>-2.6604132712098898</v>
      </c>
      <c r="Q23">
        <f>MAX(Table3[[#This Row],[EV Home]:[EV Away]])</f>
        <v>-2.6604132712098898</v>
      </c>
      <c r="R23" t="s">
        <v>5</v>
      </c>
    </row>
    <row r="24" spans="1:18" x14ac:dyDescent="0.35">
      <c r="A24" t="s">
        <v>127</v>
      </c>
      <c r="B24" t="s">
        <v>130</v>
      </c>
      <c r="C24">
        <v>3</v>
      </c>
      <c r="D24">
        <v>12.284975538441399</v>
      </c>
      <c r="E24">
        <v>130.31468298435999</v>
      </c>
      <c r="F24">
        <v>6.1546856774649896</v>
      </c>
      <c r="G24">
        <v>11.5</v>
      </c>
      <c r="H24">
        <v>-117.64705882352899</v>
      </c>
      <c r="I24">
        <v>-11.5</v>
      </c>
      <c r="J24">
        <v>-104.166666666666</v>
      </c>
      <c r="K24">
        <v>10.9299576519883</v>
      </c>
      <c r="L24">
        <v>-10.9299576519883</v>
      </c>
      <c r="M24">
        <v>0.55040160960010398</v>
      </c>
      <c r="N24">
        <v>0.44959839039989502</v>
      </c>
      <c r="O24">
        <v>-2.6716861279797</v>
      </c>
      <c r="P24">
        <v>-17.382731577621399</v>
      </c>
      <c r="Q24">
        <f>MAX(Table3[[#This Row],[EV Home]:[EV Away]])</f>
        <v>-2.6716861279797</v>
      </c>
    </row>
    <row r="25" spans="1:18" x14ac:dyDescent="0.35">
      <c r="A25" t="s">
        <v>243</v>
      </c>
      <c r="B25" t="s">
        <v>27</v>
      </c>
      <c r="C25">
        <v>3</v>
      </c>
      <c r="D25">
        <v>-2.5811552578958499</v>
      </c>
      <c r="E25">
        <v>136.62536680963501</v>
      </c>
      <c r="F25">
        <v>-3.1968360195509899</v>
      </c>
      <c r="G25">
        <v>-3.5</v>
      </c>
      <c r="H25">
        <v>-120.481927710843</v>
      </c>
      <c r="I25">
        <v>3.5</v>
      </c>
      <c r="J25">
        <v>-102.04081632653001</v>
      </c>
      <c r="K25">
        <v>-3.3472489096808502</v>
      </c>
      <c r="L25">
        <v>3.3472489096808502</v>
      </c>
      <c r="M25">
        <v>0.48646062942000401</v>
      </c>
      <c r="N25">
        <v>0.51353937057999499</v>
      </c>
      <c r="O25">
        <v>-16.113098521939101</v>
      </c>
      <c r="P25">
        <v>-3.1838109193609401</v>
      </c>
      <c r="Q25">
        <f>MAX(Table3[[#This Row],[EV Home]:[EV Away]])</f>
        <v>-3.1838109193609401</v>
      </c>
    </row>
    <row r="26" spans="1:18" x14ac:dyDescent="0.35">
      <c r="A26" t="s">
        <v>257</v>
      </c>
      <c r="B26" t="s">
        <v>258</v>
      </c>
      <c r="C26">
        <v>0</v>
      </c>
      <c r="D26">
        <v>12.2489706809263</v>
      </c>
      <c r="E26">
        <v>129.105424900168</v>
      </c>
      <c r="F26">
        <v>6.9370386306171703</v>
      </c>
      <c r="G26">
        <v>11.5</v>
      </c>
      <c r="H26">
        <v>-114.942528735632</v>
      </c>
      <c r="I26">
        <v>-11.5</v>
      </c>
      <c r="J26">
        <v>-105.263157894736</v>
      </c>
      <c r="K26">
        <v>11.0232511639429</v>
      </c>
      <c r="L26">
        <v>-11.0232511639429</v>
      </c>
      <c r="M26">
        <v>0.54218668193617603</v>
      </c>
      <c r="N26">
        <v>0.45781331806382303</v>
      </c>
      <c r="O26">
        <v>-3.1892236585732201</v>
      </c>
      <c r="P26">
        <v>-16.1482697969161</v>
      </c>
      <c r="Q26">
        <f>MAX(Table3[[#This Row],[EV Home]:[EV Away]])</f>
        <v>-3.1892236585732201</v>
      </c>
    </row>
    <row r="27" spans="1:18" x14ac:dyDescent="0.35">
      <c r="A27" t="s">
        <v>252</v>
      </c>
      <c r="B27" t="s">
        <v>253</v>
      </c>
      <c r="C27">
        <v>3</v>
      </c>
      <c r="D27">
        <v>8.6545162302943499</v>
      </c>
      <c r="E27">
        <v>129.56513729827799</v>
      </c>
      <c r="F27">
        <v>3.5743205397597699</v>
      </c>
      <c r="G27">
        <v>7.5</v>
      </c>
      <c r="H27">
        <v>-112.35955056179699</v>
      </c>
      <c r="I27">
        <v>-7.5</v>
      </c>
      <c r="J27">
        <v>-107.52688172043</v>
      </c>
      <c r="K27">
        <v>7.15360459625676</v>
      </c>
      <c r="L27">
        <v>-7.15360459625676</v>
      </c>
      <c r="M27">
        <v>0.53067898209604203</v>
      </c>
      <c r="N27">
        <v>0.46932101790395703</v>
      </c>
      <c r="O27">
        <v>-4.3948825628875499</v>
      </c>
      <c r="P27">
        <v>-14.7278333654966</v>
      </c>
      <c r="Q27">
        <f>MAX(Table3[[#This Row],[EV Home]:[EV Away]])</f>
        <v>-4.3948825628875499</v>
      </c>
    </row>
    <row r="28" spans="1:18" x14ac:dyDescent="0.35">
      <c r="A28" t="s">
        <v>112</v>
      </c>
      <c r="B28" t="s">
        <v>245</v>
      </c>
      <c r="C28">
        <v>3</v>
      </c>
      <c r="D28">
        <v>-10.772076600534801</v>
      </c>
      <c r="E28">
        <v>146.13109245103399</v>
      </c>
      <c r="F28">
        <v>-8.6807428757715606</v>
      </c>
      <c r="G28">
        <v>-10.5</v>
      </c>
      <c r="H28">
        <v>-113.636363636363</v>
      </c>
      <c r="I28">
        <v>10.5</v>
      </c>
      <c r="J28">
        <v>-106.38297872340399</v>
      </c>
      <c r="K28">
        <v>-10.3066024345383</v>
      </c>
      <c r="L28">
        <v>10.3066024345383</v>
      </c>
      <c r="M28">
        <v>0.48285983975542601</v>
      </c>
      <c r="N28">
        <v>0.51714016024457299</v>
      </c>
      <c r="O28">
        <v>-14.393751728425601</v>
      </c>
      <c r="P28">
        <v>-4.5034073101069296</v>
      </c>
      <c r="Q28">
        <f>MAX(Table3[[#This Row],[EV Home]:[EV Away]])</f>
        <v>-4.5034073101069296</v>
      </c>
    </row>
    <row r="29" spans="1:18" x14ac:dyDescent="0.35">
      <c r="A29" t="s">
        <v>40</v>
      </c>
      <c r="B29" t="s">
        <v>241</v>
      </c>
      <c r="C29">
        <v>3</v>
      </c>
      <c r="D29">
        <v>5.9028217758623596</v>
      </c>
      <c r="E29">
        <v>125.246939000146</v>
      </c>
      <c r="F29">
        <v>3.05153726369972</v>
      </c>
      <c r="G29">
        <v>4.5</v>
      </c>
      <c r="H29">
        <v>-120.481927710843</v>
      </c>
      <c r="I29">
        <v>-4.5</v>
      </c>
      <c r="J29">
        <v>-102.04081632653001</v>
      </c>
      <c r="K29">
        <v>4.4942948799452598</v>
      </c>
      <c r="L29">
        <v>-4.4942948799452598</v>
      </c>
      <c r="M29">
        <v>0.50050578066552998</v>
      </c>
      <c r="N29">
        <v>0.49949421933447002</v>
      </c>
      <c r="O29">
        <v>-13.4023843315527</v>
      </c>
      <c r="P29">
        <v>-6.1052023784302198</v>
      </c>
      <c r="Q29">
        <f>MAX(Table3[[#This Row],[EV Home]:[EV Away]])</f>
        <v>-6.1052023784302198</v>
      </c>
    </row>
    <row r="30" spans="1:18" x14ac:dyDescent="0.35">
      <c r="A30" t="s">
        <v>24</v>
      </c>
      <c r="B30" t="s">
        <v>102</v>
      </c>
      <c r="C30">
        <v>3</v>
      </c>
      <c r="D30">
        <v>-6.9997643697476697</v>
      </c>
      <c r="E30">
        <v>148.67710021390801</v>
      </c>
      <c r="F30">
        <v>-7.0652741166361599</v>
      </c>
      <c r="G30">
        <v>-8.5</v>
      </c>
      <c r="H30">
        <v>-104.166666666666</v>
      </c>
      <c r="I30">
        <v>8.5</v>
      </c>
      <c r="J30">
        <v>-117.64705882352899</v>
      </c>
      <c r="K30">
        <v>-8.1331298107979801</v>
      </c>
      <c r="L30">
        <v>8.1331298107979801</v>
      </c>
      <c r="M30">
        <v>0.46751154254600502</v>
      </c>
      <c r="N30">
        <v>0.53248845745399398</v>
      </c>
      <c r="O30">
        <v>-13.6926222355228</v>
      </c>
      <c r="P30">
        <v>-6.1647507964710604</v>
      </c>
      <c r="Q30">
        <f>MAX(Table3[[#This Row],[EV Home]:[EV Away]])</f>
        <v>-6.1647507964710604</v>
      </c>
    </row>
    <row r="31" spans="1:18" x14ac:dyDescent="0.35">
      <c r="A31" t="s">
        <v>105</v>
      </c>
      <c r="B31" t="s">
        <v>37</v>
      </c>
      <c r="C31">
        <v>3</v>
      </c>
      <c r="D31">
        <v>-15.946271493508201</v>
      </c>
      <c r="E31">
        <v>129.36109185650199</v>
      </c>
      <c r="F31">
        <v>-12.6182066815366</v>
      </c>
      <c r="G31">
        <v>-15.5</v>
      </c>
      <c r="H31">
        <v>-105.263157894736</v>
      </c>
      <c r="I31">
        <v>15.5</v>
      </c>
      <c r="J31">
        <v>-114.942528735632</v>
      </c>
      <c r="K31">
        <v>-15.1955597718806</v>
      </c>
      <c r="L31">
        <v>15.1955597718806</v>
      </c>
      <c r="M31">
        <v>0.47303077919943298</v>
      </c>
      <c r="N31">
        <v>0.52696922080056596</v>
      </c>
      <c r="O31">
        <v>-13.028690264115999</v>
      </c>
      <c r="P31">
        <v>-6.1870635022884697</v>
      </c>
      <c r="Q31">
        <f>MAX(Table3[[#This Row],[EV Home]:[EV Away]])</f>
        <v>-6.1870635022884697</v>
      </c>
    </row>
    <row r="32" spans="1:18" x14ac:dyDescent="0.35">
      <c r="A32" t="s">
        <v>79</v>
      </c>
      <c r="B32" t="s">
        <v>55</v>
      </c>
      <c r="C32">
        <v>3</v>
      </c>
      <c r="D32">
        <v>3.7243748483979902</v>
      </c>
      <c r="E32">
        <v>138.067770792121</v>
      </c>
      <c r="F32">
        <v>0.93870284520215597</v>
      </c>
      <c r="G32">
        <v>3.5</v>
      </c>
      <c r="H32">
        <v>-114.942528735632</v>
      </c>
      <c r="I32">
        <v>-3.5</v>
      </c>
      <c r="J32">
        <v>-105.263157894736</v>
      </c>
      <c r="K32">
        <v>3.20788471170001</v>
      </c>
      <c r="L32">
        <v>-3.20788471170001</v>
      </c>
      <c r="M32">
        <v>0.52587896558105196</v>
      </c>
      <c r="N32">
        <v>0.47412103441894698</v>
      </c>
      <c r="O32">
        <v>-6.4018437805325998</v>
      </c>
      <c r="P32">
        <v>-12.805187944115801</v>
      </c>
      <c r="Q32">
        <f>MAX(Table3[[#This Row],[EV Home]:[EV Away]])</f>
        <v>-6.4018437805325998</v>
      </c>
    </row>
    <row r="33" spans="1:17" x14ac:dyDescent="0.35">
      <c r="A33" t="s">
        <v>117</v>
      </c>
      <c r="B33" t="s">
        <v>47</v>
      </c>
      <c r="C33">
        <v>3</v>
      </c>
      <c r="D33">
        <v>-22.173215881492101</v>
      </c>
      <c r="E33">
        <v>137.42093501190601</v>
      </c>
      <c r="F33">
        <v>-14.041742471711601</v>
      </c>
      <c r="G33">
        <v>-17.5</v>
      </c>
      <c r="H33">
        <v>-109.890109890109</v>
      </c>
      <c r="I33">
        <v>17.5</v>
      </c>
      <c r="J33">
        <v>-109.890109890109</v>
      </c>
      <c r="K33">
        <v>-17.6518697941504</v>
      </c>
      <c r="L33">
        <v>17.6518697941504</v>
      </c>
      <c r="M33">
        <v>0.51346128503086297</v>
      </c>
      <c r="N33">
        <v>0.48653871496913698</v>
      </c>
      <c r="O33">
        <v>-6.7942817087965404</v>
      </c>
      <c r="P33">
        <v>-12.2057182912034</v>
      </c>
      <c r="Q33">
        <f>MAX(Table3[[#This Row],[EV Home]:[EV Away]])</f>
        <v>-6.7942817087965404</v>
      </c>
    </row>
    <row r="34" spans="1:17" x14ac:dyDescent="0.35">
      <c r="A34" t="s">
        <v>42</v>
      </c>
      <c r="B34" t="s">
        <v>132</v>
      </c>
      <c r="C34">
        <v>3</v>
      </c>
      <c r="D34">
        <v>-9.28332431366713</v>
      </c>
      <c r="E34">
        <v>135.97716290826699</v>
      </c>
      <c r="F34">
        <v>-6.9119303325690602</v>
      </c>
      <c r="G34">
        <v>-7.5</v>
      </c>
      <c r="H34">
        <v>-109.890109890109</v>
      </c>
      <c r="I34">
        <v>7.5</v>
      </c>
      <c r="J34">
        <v>-109.890109890109</v>
      </c>
      <c r="K34">
        <v>-7.6494068307795198</v>
      </c>
      <c r="L34">
        <v>7.6494068307795198</v>
      </c>
      <c r="M34">
        <v>0.513243056179297</v>
      </c>
      <c r="N34">
        <v>0.486756943820702</v>
      </c>
      <c r="O34">
        <v>-6.83814570796123</v>
      </c>
      <c r="P34">
        <v>-12.161854292038701</v>
      </c>
      <c r="Q34">
        <f>MAX(Table3[[#This Row],[EV Home]:[EV Away]])</f>
        <v>-6.83814570796123</v>
      </c>
    </row>
    <row r="35" spans="1:17" x14ac:dyDescent="0.35">
      <c r="A35" t="s">
        <v>125</v>
      </c>
      <c r="B35" t="s">
        <v>113</v>
      </c>
      <c r="C35">
        <v>3</v>
      </c>
      <c r="D35">
        <v>-14.320548801332</v>
      </c>
      <c r="E35">
        <v>142.27130409275401</v>
      </c>
      <c r="F35">
        <v>-8.3542424330976992</v>
      </c>
      <c r="G35">
        <v>-11.5</v>
      </c>
      <c r="H35">
        <v>-113.636363636363</v>
      </c>
      <c r="I35">
        <v>11.5</v>
      </c>
      <c r="J35">
        <v>-106.38297872340399</v>
      </c>
      <c r="K35">
        <v>-11.459348904303701</v>
      </c>
      <c r="L35">
        <v>11.459348904303701</v>
      </c>
      <c r="M35">
        <v>0.49639617327810998</v>
      </c>
      <c r="N35">
        <v>0.50360382672188897</v>
      </c>
      <c r="O35">
        <v>-11.713557690934101</v>
      </c>
      <c r="P35">
        <v>-7.2648193487344699</v>
      </c>
      <c r="Q35">
        <f>MAX(Table3[[#This Row],[EV Home]:[EV Away]])</f>
        <v>-7.2648193487344699</v>
      </c>
    </row>
    <row r="36" spans="1:17" x14ac:dyDescent="0.35">
      <c r="A36" t="s">
        <v>250</v>
      </c>
      <c r="B36" t="s">
        <v>126</v>
      </c>
      <c r="C36">
        <v>3</v>
      </c>
      <c r="D36">
        <v>9.9718093581227691</v>
      </c>
      <c r="E36">
        <v>117.136867473387</v>
      </c>
      <c r="F36">
        <v>4.03817184710209</v>
      </c>
      <c r="G36">
        <v>6.5</v>
      </c>
      <c r="H36">
        <v>-102.04081632653001</v>
      </c>
      <c r="I36">
        <v>-6.5</v>
      </c>
      <c r="J36">
        <v>-120.481927710843</v>
      </c>
      <c r="K36">
        <v>6.6262476506530996</v>
      </c>
      <c r="L36">
        <v>-6.6262476506530996</v>
      </c>
      <c r="M36">
        <v>0.48880912901421603</v>
      </c>
      <c r="N36">
        <v>0.51119087098578297</v>
      </c>
      <c r="O36">
        <v>-8.3277011650429298</v>
      </c>
      <c r="P36">
        <v>-11.3401618997438</v>
      </c>
      <c r="Q36">
        <f>MAX(Table3[[#This Row],[EV Home]:[EV Away]])</f>
        <v>-8.3277011650429298</v>
      </c>
    </row>
    <row r="37" spans="1:17" x14ac:dyDescent="0.35">
      <c r="A37" t="s">
        <v>249</v>
      </c>
      <c r="B37" t="s">
        <v>161</v>
      </c>
      <c r="C37">
        <v>3</v>
      </c>
      <c r="D37">
        <v>4.0884631942979999</v>
      </c>
      <c r="E37">
        <v>125.537024225322</v>
      </c>
      <c r="F37">
        <v>0.60429922964872795</v>
      </c>
      <c r="G37">
        <v>3.5</v>
      </c>
      <c r="H37">
        <v>-120.481927710843</v>
      </c>
      <c r="I37">
        <v>-3.5</v>
      </c>
      <c r="J37">
        <v>-102.04081632653001</v>
      </c>
      <c r="K37">
        <v>3.2115953029933402</v>
      </c>
      <c r="L37">
        <v>-3.2115953029933402</v>
      </c>
      <c r="M37">
        <v>0.52555069103309104</v>
      </c>
      <c r="N37">
        <v>0.47444930896690801</v>
      </c>
      <c r="O37">
        <v>-8.5687166306133999</v>
      </c>
      <c r="P37">
        <v>-11.3145437348829</v>
      </c>
      <c r="Q37">
        <f>MAX(Table3[[#This Row],[EV Home]:[EV Away]])</f>
        <v>-8.5687166306133999</v>
      </c>
    </row>
    <row r="38" spans="1:17" x14ac:dyDescent="0.35">
      <c r="A38" t="s">
        <v>36</v>
      </c>
      <c r="B38" t="s">
        <v>107</v>
      </c>
      <c r="C38">
        <v>3</v>
      </c>
      <c r="D38">
        <v>-4.46167279286382</v>
      </c>
      <c r="E38">
        <v>141.083937238278</v>
      </c>
      <c r="F38">
        <v>-5.8318903955069397</v>
      </c>
      <c r="G38">
        <v>-4.5</v>
      </c>
      <c r="H38">
        <v>-114.942528735632</v>
      </c>
      <c r="I38">
        <v>4.5</v>
      </c>
      <c r="J38">
        <v>-105.263157894736</v>
      </c>
      <c r="K38">
        <v>-4.6616953985463399</v>
      </c>
      <c r="L38">
        <v>4.6616953985463399</v>
      </c>
      <c r="M38">
        <v>0.51433183389380599</v>
      </c>
      <c r="N38">
        <v>0.48566816610619301</v>
      </c>
      <c r="O38">
        <v>-8.6766287229200394</v>
      </c>
      <c r="P38">
        <v>-10.438025948230299</v>
      </c>
      <c r="Q38">
        <f>MAX(Table3[[#This Row],[EV Home]:[EV Away]])</f>
        <v>-8.6766287229200394</v>
      </c>
    </row>
    <row r="39" spans="1:17" x14ac:dyDescent="0.35">
      <c r="A39" t="s">
        <v>38</v>
      </c>
      <c r="B39" t="s">
        <v>43</v>
      </c>
      <c r="C39">
        <v>3</v>
      </c>
      <c r="D39">
        <v>-5.4868356526054098</v>
      </c>
      <c r="E39">
        <v>138.520171274403</v>
      </c>
      <c r="F39">
        <v>-5.0159720338832399</v>
      </c>
      <c r="G39">
        <v>-4.5</v>
      </c>
      <c r="H39">
        <v>-120.481927710843</v>
      </c>
      <c r="I39">
        <v>4.5</v>
      </c>
      <c r="J39">
        <v>-102.04081632653001</v>
      </c>
      <c r="K39">
        <v>-4.6878509608110797</v>
      </c>
      <c r="L39">
        <v>4.6878509608110797</v>
      </c>
      <c r="M39">
        <v>0.51664887346646204</v>
      </c>
      <c r="N39">
        <v>0.48335112653353701</v>
      </c>
      <c r="O39">
        <v>-10.2867674209727</v>
      </c>
      <c r="P39">
        <v>-9.4629656810241993</v>
      </c>
      <c r="Q39">
        <f>MAX(Table3[[#This Row],[EV Home]:[EV Away]])</f>
        <v>-9.4629656810241993</v>
      </c>
    </row>
    <row r="40" spans="1:17" x14ac:dyDescent="0.35">
      <c r="A40" t="s">
        <v>118</v>
      </c>
      <c r="B40" t="s">
        <v>246</v>
      </c>
      <c r="C40">
        <v>3</v>
      </c>
      <c r="D40">
        <v>-1.9649894619839401</v>
      </c>
      <c r="E40">
        <v>134.309218516594</v>
      </c>
      <c r="F40">
        <v>-2.4176609181665198</v>
      </c>
      <c r="G40">
        <v>-3.5</v>
      </c>
      <c r="H40">
        <v>-107.52688172043</v>
      </c>
      <c r="K40">
        <v>-3.1728312975188002</v>
      </c>
      <c r="M40">
        <v>0.47102077060474301</v>
      </c>
      <c r="O40">
        <v>-14.382783567237</v>
      </c>
      <c r="Q40">
        <f>MAX(Table3[[#This Row],[EV Home]:[EV Away]])</f>
        <v>-14.382783567237</v>
      </c>
    </row>
    <row r="41" spans="1:17" x14ac:dyDescent="0.35">
      <c r="A41" t="s">
        <v>256</v>
      </c>
      <c r="B41" t="s">
        <v>134</v>
      </c>
      <c r="C41">
        <v>3</v>
      </c>
      <c r="D41">
        <v>0.91581711966422896</v>
      </c>
      <c r="E41">
        <v>129.19296010882499</v>
      </c>
      <c r="F41">
        <v>-1.0655271765365799</v>
      </c>
      <c r="G41">
        <v>-1.5</v>
      </c>
      <c r="H41">
        <v>-117.64705882352899</v>
      </c>
      <c r="K41">
        <v>-1.1437137571090401</v>
      </c>
      <c r="M41">
        <v>0.46844682573136098</v>
      </c>
      <c r="O41">
        <v>-18.6528689823846</v>
      </c>
      <c r="Q41">
        <f>MAX(Table3[[#This Row],[EV Home]:[EV Away]])</f>
        <v>-18.6528689823846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7FC0-8AE0-4B89-B5ED-F3DB5EAC0F4F}">
  <dimension ref="A1:P23"/>
  <sheetViews>
    <sheetView workbookViewId="0">
      <selection activeCell="C11" sqref="C2:C11"/>
    </sheetView>
  </sheetViews>
  <sheetFormatPr defaultRowHeight="14.5" x14ac:dyDescent="0.35"/>
  <cols>
    <col min="1" max="1" width="14.26953125" bestFit="1" customWidth="1"/>
    <col min="2" max="2" width="15.54296875" bestFit="1" customWidth="1"/>
    <col min="3" max="3" width="11.81640625" customWidth="1"/>
    <col min="4" max="4" width="18.1796875" customWidth="1"/>
    <col min="5" max="5" width="13.6328125" customWidth="1"/>
    <col min="6" max="6" width="16.6328125" customWidth="1"/>
    <col min="7" max="7" width="13" customWidth="1"/>
    <col min="8" max="8" width="16" customWidth="1"/>
    <col min="9" max="9" width="17.1796875" customWidth="1"/>
    <col min="10" max="10" width="16.54296875" customWidth="1"/>
    <col min="11" max="11" width="10.7265625" customWidth="1"/>
    <col min="12" max="13" width="10.08984375" customWidth="1"/>
    <col min="14" max="14" width="9.453125" customWidth="1"/>
  </cols>
  <sheetData>
    <row r="1" spans="1:16" x14ac:dyDescent="0.35">
      <c r="A1" t="s">
        <v>17</v>
      </c>
      <c r="B1" t="s">
        <v>18</v>
      </c>
      <c r="C1" t="s">
        <v>19</v>
      </c>
      <c r="D1" t="s">
        <v>21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</v>
      </c>
      <c r="P1" t="s">
        <v>151</v>
      </c>
    </row>
    <row r="2" spans="1:16" x14ac:dyDescent="0.35">
      <c r="A2" t="s">
        <v>52</v>
      </c>
      <c r="B2" t="s">
        <v>61</v>
      </c>
      <c r="C2">
        <v>-7.1103254566938299</v>
      </c>
      <c r="D2">
        <v>-4.4215360273011601</v>
      </c>
      <c r="E2">
        <v>-10.5</v>
      </c>
      <c r="F2">
        <v>-120.481927710843</v>
      </c>
      <c r="G2">
        <v>10.5</v>
      </c>
      <c r="H2">
        <v>-102.04081632653001</v>
      </c>
      <c r="I2">
        <v>-9.3164826854993699</v>
      </c>
      <c r="J2">
        <v>9.3164826854993699</v>
      </c>
      <c r="K2">
        <v>0.39627380674084101</v>
      </c>
      <c r="L2">
        <v>0.60372619325915799</v>
      </c>
      <c r="M2">
        <v>-33.519155299017498</v>
      </c>
      <c r="N2">
        <v>15.5750481979049</v>
      </c>
      <c r="O2">
        <f>MAX(Table2[[#This Row],[EV Home]],Table2[[#This Row],[EV Away]])</f>
        <v>15.5750481979049</v>
      </c>
    </row>
    <row r="3" spans="1:16" x14ac:dyDescent="0.35">
      <c r="A3" t="s">
        <v>216</v>
      </c>
      <c r="B3" t="s">
        <v>217</v>
      </c>
      <c r="C3">
        <v>10.8403318584381</v>
      </c>
      <c r="D3">
        <v>4.4485818159244896</v>
      </c>
      <c r="E3">
        <v>2.5</v>
      </c>
      <c r="F3">
        <v>-107.52688172043</v>
      </c>
      <c r="G3">
        <v>-2.5</v>
      </c>
      <c r="H3">
        <v>-112.35955056179699</v>
      </c>
      <c r="I3">
        <v>3.7861142092953202</v>
      </c>
      <c r="J3">
        <v>-3.7861142092953202</v>
      </c>
      <c r="K3">
        <v>0.38751444476649</v>
      </c>
      <c r="L3">
        <v>0.612485555233509</v>
      </c>
      <c r="M3">
        <v>-31.3345677124024</v>
      </c>
      <c r="N3">
        <v>11.8846254914683</v>
      </c>
      <c r="O3">
        <f>MAX(Table2[[#This Row],[EV Home]],Table2[[#This Row],[EV Away]])</f>
        <v>11.8846254914683</v>
      </c>
    </row>
    <row r="4" spans="1:16" x14ac:dyDescent="0.35">
      <c r="A4" t="s">
        <v>211</v>
      </c>
      <c r="B4" t="s">
        <v>212</v>
      </c>
      <c r="C4">
        <v>-15.579531569091101</v>
      </c>
      <c r="D4">
        <v>-7.4414161006521597</v>
      </c>
      <c r="E4">
        <v>-15.5</v>
      </c>
      <c r="F4">
        <v>-106.38297872340399</v>
      </c>
      <c r="G4">
        <v>15.5</v>
      </c>
      <c r="H4">
        <v>-113.636363636363</v>
      </c>
      <c r="I4">
        <v>-14.502618458717899</v>
      </c>
      <c r="J4">
        <v>14.502618458717899</v>
      </c>
      <c r="K4">
        <v>0.41229693734181</v>
      </c>
      <c r="L4">
        <v>0.58770306265818895</v>
      </c>
      <c r="M4">
        <v>-25.891424782270601</v>
      </c>
      <c r="N4">
        <v>6.3652064063214704</v>
      </c>
      <c r="O4">
        <f>MAX(Table2[[#This Row],[EV Home]],Table2[[#This Row],[EV Away]])</f>
        <v>6.3652064063214704</v>
      </c>
      <c r="P4" t="s">
        <v>5</v>
      </c>
    </row>
    <row r="5" spans="1:16" x14ac:dyDescent="0.35">
      <c r="A5" t="s">
        <v>222</v>
      </c>
      <c r="B5" t="s">
        <v>223</v>
      </c>
      <c r="C5">
        <v>-4.1349436198902803</v>
      </c>
      <c r="D5">
        <v>-2.0778651078028201</v>
      </c>
      <c r="E5">
        <v>1.5</v>
      </c>
      <c r="F5">
        <v>-121.951219512195</v>
      </c>
      <c r="G5">
        <v>-1.5</v>
      </c>
      <c r="H5">
        <v>100</v>
      </c>
      <c r="I5">
        <v>0.34839890903836201</v>
      </c>
      <c r="J5">
        <v>-0.34839890903836201</v>
      </c>
      <c r="K5">
        <v>0.60099035618988195</v>
      </c>
      <c r="L5">
        <v>0.399009643810118</v>
      </c>
      <c r="M5">
        <v>5.3901483884573302</v>
      </c>
      <c r="N5">
        <v>-26.207974799875199</v>
      </c>
      <c r="O5">
        <f>MAX(Table2[[#This Row],[EV Home]],Table2[[#This Row],[EV Away]])</f>
        <v>5.3901483884573302</v>
      </c>
    </row>
    <row r="6" spans="1:16" x14ac:dyDescent="0.35">
      <c r="A6" t="s">
        <v>220</v>
      </c>
      <c r="B6" t="s">
        <v>221</v>
      </c>
      <c r="C6">
        <v>-14.8502450433846</v>
      </c>
      <c r="D6">
        <v>-8.38092436946582</v>
      </c>
      <c r="E6">
        <v>-7.5</v>
      </c>
      <c r="F6">
        <v>-120.481927710843</v>
      </c>
      <c r="G6">
        <v>7.5</v>
      </c>
      <c r="H6">
        <v>-102.04081632653001</v>
      </c>
      <c r="I6">
        <v>-8.5288961766063096</v>
      </c>
      <c r="J6">
        <v>8.5288961766063096</v>
      </c>
      <c r="K6">
        <v>0.59042703089688797</v>
      </c>
      <c r="L6">
        <v>0.40957296910311097</v>
      </c>
      <c r="M6">
        <v>3.9524169630995298</v>
      </c>
      <c r="N6">
        <v>-24.808822426552801</v>
      </c>
      <c r="O6">
        <f>MAX(Table2[[#This Row],[EV Home]],Table2[[#This Row],[EV Away]])</f>
        <v>3.9524169630995298</v>
      </c>
    </row>
    <row r="7" spans="1:16" x14ac:dyDescent="0.35">
      <c r="A7" t="s">
        <v>54</v>
      </c>
      <c r="B7" t="s">
        <v>207</v>
      </c>
      <c r="C7">
        <v>-3.1362490120129101</v>
      </c>
      <c r="D7">
        <v>-2.6263000091150199</v>
      </c>
      <c r="E7">
        <v>-5.5</v>
      </c>
      <c r="F7">
        <v>-109.890109890109</v>
      </c>
      <c r="G7">
        <v>5.5</v>
      </c>
      <c r="H7">
        <v>-109.890109890109</v>
      </c>
      <c r="I7">
        <v>-4.8453186276409896</v>
      </c>
      <c r="J7">
        <v>4.8453186276409896</v>
      </c>
      <c r="K7">
        <v>0.44216407792421503</v>
      </c>
      <c r="L7">
        <v>0.55783592207578403</v>
      </c>
      <c r="M7">
        <v>-21.125020337232598</v>
      </c>
      <c r="N7">
        <v>2.1250203372326602</v>
      </c>
      <c r="O7">
        <f>MAX(Table2[[#This Row],[EV Home]],Table2[[#This Row],[EV Away]])</f>
        <v>2.1250203372326602</v>
      </c>
    </row>
    <row r="8" spans="1:16" x14ac:dyDescent="0.35">
      <c r="A8" t="s">
        <v>80</v>
      </c>
      <c r="B8" t="s">
        <v>83</v>
      </c>
      <c r="C8">
        <v>4.59370931723093</v>
      </c>
      <c r="D8">
        <v>1.68135597108295</v>
      </c>
      <c r="E8">
        <v>1.5</v>
      </c>
      <c r="F8">
        <v>-114.942528735632</v>
      </c>
      <c r="G8">
        <v>-1.5</v>
      </c>
      <c r="H8">
        <v>-105.263157894736</v>
      </c>
      <c r="I8">
        <v>1.90938316103923</v>
      </c>
      <c r="J8">
        <v>-1.90938316103923</v>
      </c>
      <c r="K8">
        <v>0.46375661096394699</v>
      </c>
      <c r="L8">
        <v>0.53624338903605195</v>
      </c>
      <c r="M8">
        <v>-18.6399476401022</v>
      </c>
      <c r="N8">
        <v>-7.0105247609305296E-2</v>
      </c>
      <c r="O8">
        <f>MAX(Table2[[#This Row],[EV Home]],Table2[[#This Row],[EV Away]])</f>
        <v>-7.0105247609305296E-2</v>
      </c>
    </row>
    <row r="9" spans="1:16" x14ac:dyDescent="0.35">
      <c r="A9" t="s">
        <v>213</v>
      </c>
      <c r="B9" t="s">
        <v>214</v>
      </c>
      <c r="C9">
        <v>7.8674344969505903</v>
      </c>
      <c r="D9">
        <v>5.36418071001982</v>
      </c>
      <c r="E9">
        <v>4.5</v>
      </c>
      <c r="F9">
        <v>-109.890109890109</v>
      </c>
      <c r="G9">
        <v>-4.5</v>
      </c>
      <c r="H9">
        <v>-109.890109890109</v>
      </c>
      <c r="I9">
        <v>5.0289519008713004</v>
      </c>
      <c r="J9">
        <v>-5.0289519008713004</v>
      </c>
      <c r="K9">
        <v>0.45321414591696801</v>
      </c>
      <c r="L9">
        <v>0.54678585408303104</v>
      </c>
      <c r="M9">
        <v>-18.903956670689301</v>
      </c>
      <c r="N9">
        <v>-9.6043329310674594E-2</v>
      </c>
      <c r="O9">
        <f>MAX(Table2[[#This Row],[EV Home]],Table2[[#This Row],[EV Away]])</f>
        <v>-9.6043329310674594E-2</v>
      </c>
    </row>
    <row r="10" spans="1:16" x14ac:dyDescent="0.35">
      <c r="A10" t="s">
        <v>232</v>
      </c>
      <c r="B10" t="s">
        <v>233</v>
      </c>
      <c r="C10">
        <v>-5.8256699051447303</v>
      </c>
      <c r="D10">
        <v>-3.03504482799163</v>
      </c>
      <c r="G10">
        <v>5.5</v>
      </c>
      <c r="H10">
        <v>-102.04081632653001</v>
      </c>
      <c r="J10">
        <v>5.2325893416420399</v>
      </c>
      <c r="L10">
        <v>0.52369303645880605</v>
      </c>
      <c r="N10">
        <v>-1.07184841656827</v>
      </c>
      <c r="O10">
        <f>MAX(Table2[[#This Row],[EV Home]],Table2[[#This Row],[EV Away]])</f>
        <v>-1.07184841656827</v>
      </c>
    </row>
    <row r="11" spans="1:16" x14ac:dyDescent="0.35">
      <c r="A11" t="s">
        <v>209</v>
      </c>
      <c r="B11" t="s">
        <v>210</v>
      </c>
      <c r="C11">
        <v>10.6393631920294</v>
      </c>
      <c r="D11">
        <v>5.1845247234955201</v>
      </c>
      <c r="E11">
        <v>9.5</v>
      </c>
      <c r="F11">
        <v>-107.52688172043</v>
      </c>
      <c r="G11">
        <v>-9.5</v>
      </c>
      <c r="H11">
        <v>-112.35955056179699</v>
      </c>
      <c r="I11">
        <v>9.1029859894406098</v>
      </c>
      <c r="J11">
        <v>-9.1029859894406098</v>
      </c>
      <c r="K11">
        <v>0.53515120956553996</v>
      </c>
      <c r="L11">
        <v>0.46484879043445898</v>
      </c>
      <c r="M11">
        <v>-1.3643044581952399</v>
      </c>
      <c r="N11">
        <v>-17.495090703542601</v>
      </c>
      <c r="O11">
        <f>MAX(Table2[[#This Row],[EV Home]],Table2[[#This Row],[EV Away]])</f>
        <v>-1.3643044581952399</v>
      </c>
    </row>
    <row r="12" spans="1:16" x14ac:dyDescent="0.35">
      <c r="A12" t="s">
        <v>75</v>
      </c>
      <c r="B12" t="s">
        <v>208</v>
      </c>
      <c r="C12">
        <v>-15.414958184727499</v>
      </c>
      <c r="D12">
        <v>-8.1336129293101997</v>
      </c>
      <c r="E12">
        <v>-13.5</v>
      </c>
      <c r="F12">
        <v>-109.890109890109</v>
      </c>
      <c r="G12">
        <v>13.5</v>
      </c>
      <c r="H12">
        <v>-109.890109890109</v>
      </c>
      <c r="I12">
        <v>-13.0685713892547</v>
      </c>
      <c r="J12">
        <v>13.0685713892547</v>
      </c>
      <c r="K12">
        <v>0.461810709555459</v>
      </c>
      <c r="L12">
        <v>0.53818929044454</v>
      </c>
      <c r="M12">
        <v>-17.176047379352699</v>
      </c>
      <c r="N12">
        <v>-1.82395262064728</v>
      </c>
      <c r="O12">
        <f>MAX(Table2[[#This Row],[EV Home]],Table2[[#This Row],[EV Away]])</f>
        <v>-1.82395262064728</v>
      </c>
    </row>
    <row r="13" spans="1:16" x14ac:dyDescent="0.35">
      <c r="A13" t="s">
        <v>63</v>
      </c>
      <c r="B13" t="s">
        <v>215</v>
      </c>
      <c r="C13">
        <v>-23.347777593444398</v>
      </c>
      <c r="D13">
        <v>-13.1779492508137</v>
      </c>
      <c r="E13">
        <v>-19.5</v>
      </c>
      <c r="F13">
        <v>-109.890109890109</v>
      </c>
      <c r="G13">
        <v>19.5</v>
      </c>
      <c r="H13">
        <v>-109.890109890109</v>
      </c>
      <c r="I13">
        <v>-19.190715855532201</v>
      </c>
      <c r="J13">
        <v>19.190715855532201</v>
      </c>
      <c r="K13">
        <v>0.47260234472391099</v>
      </c>
      <c r="L13">
        <v>0.52739765527608795</v>
      </c>
      <c r="M13">
        <v>-15.0069287104937</v>
      </c>
      <c r="N13">
        <v>-3.9930712895062501</v>
      </c>
      <c r="O13">
        <f>MAX(Table2[[#This Row],[EV Home]],Table2[[#This Row],[EV Away]])</f>
        <v>-3.9930712895062501</v>
      </c>
    </row>
    <row r="14" spans="1:16" x14ac:dyDescent="0.35">
      <c r="A14" t="s">
        <v>206</v>
      </c>
      <c r="B14" t="s">
        <v>29</v>
      </c>
      <c r="C14">
        <v>-3.3786497165200999</v>
      </c>
      <c r="D14">
        <v>-3.58803967791102</v>
      </c>
      <c r="E14">
        <v>-4.5</v>
      </c>
      <c r="F14">
        <v>-109.890109890109</v>
      </c>
      <c r="G14">
        <v>4.5</v>
      </c>
      <c r="H14">
        <v>-109.890109890109</v>
      </c>
      <c r="I14">
        <v>-4.2458361743038902</v>
      </c>
      <c r="J14">
        <v>4.2458361743038902</v>
      </c>
      <c r="K14">
        <v>0.47747937526627598</v>
      </c>
      <c r="L14">
        <v>0.52252062473372296</v>
      </c>
      <c r="M14">
        <v>-14.0266455714783</v>
      </c>
      <c r="N14">
        <v>-4.9733544285216098</v>
      </c>
      <c r="O14">
        <f>MAX(Table2[[#This Row],[EV Home]],Table2[[#This Row],[EV Away]])</f>
        <v>-4.9733544285216098</v>
      </c>
    </row>
    <row r="15" spans="1:16" x14ac:dyDescent="0.35">
      <c r="A15" t="s">
        <v>224</v>
      </c>
      <c r="B15" t="s">
        <v>225</v>
      </c>
      <c r="C15">
        <v>9.4481126313778798</v>
      </c>
      <c r="D15">
        <v>4.4654415193975598</v>
      </c>
      <c r="E15">
        <v>7.5</v>
      </c>
      <c r="F15">
        <v>-107.52688172043</v>
      </c>
      <c r="G15">
        <v>-7.5</v>
      </c>
      <c r="H15">
        <v>-112.35955056179699</v>
      </c>
      <c r="I15">
        <v>7.36419426884693</v>
      </c>
      <c r="J15">
        <v>-7.36419426884693</v>
      </c>
      <c r="K15">
        <v>0.51203787224597797</v>
      </c>
      <c r="L15">
        <v>0.48796212775402098</v>
      </c>
      <c r="M15">
        <v>-6.0563119340664304</v>
      </c>
      <c r="N15">
        <v>-12.895536576949601</v>
      </c>
      <c r="O15">
        <f>MAX(Table2[[#This Row],[EV Home]],Table2[[#This Row],[EV Away]])</f>
        <v>-6.0563119340664304</v>
      </c>
    </row>
    <row r="16" spans="1:16" x14ac:dyDescent="0.35">
      <c r="A16" t="s">
        <v>82</v>
      </c>
      <c r="B16" t="s">
        <v>84</v>
      </c>
      <c r="C16">
        <v>-12.978373447335001</v>
      </c>
      <c r="D16">
        <v>-7.0968509530708497</v>
      </c>
      <c r="E16">
        <v>-11.5</v>
      </c>
      <c r="F16">
        <v>-104.166666666666</v>
      </c>
      <c r="G16">
        <v>11.5</v>
      </c>
      <c r="H16">
        <v>-117.64705882352899</v>
      </c>
      <c r="I16">
        <v>-11.1344030500507</v>
      </c>
      <c r="J16">
        <v>11.1344030500507</v>
      </c>
      <c r="K16">
        <v>0.46762404688763698</v>
      </c>
      <c r="L16">
        <v>0.53237595311236197</v>
      </c>
      <c r="M16">
        <v>-13.669446341146701</v>
      </c>
      <c r="N16">
        <v>-6.1866891430892599</v>
      </c>
      <c r="O16">
        <f>MAX(Table2[[#This Row],[EV Home]],Table2[[#This Row],[EV Away]])</f>
        <v>-6.1866891430892599</v>
      </c>
    </row>
    <row r="17" spans="1:15" x14ac:dyDescent="0.35">
      <c r="A17" t="s">
        <v>230</v>
      </c>
      <c r="B17" t="s">
        <v>231</v>
      </c>
      <c r="C17">
        <v>-5.9888394487135299</v>
      </c>
      <c r="D17">
        <v>-3.2932444048325</v>
      </c>
      <c r="E17">
        <v>-3.5</v>
      </c>
      <c r="F17">
        <v>-114.942528735632</v>
      </c>
      <c r="I17">
        <v>-3.7852604816932498</v>
      </c>
      <c r="K17">
        <v>0.52527250995702901</v>
      </c>
      <c r="M17">
        <v>-6.5213155384652701</v>
      </c>
      <c r="O17">
        <f>MAX(Table2[[#This Row],[EV Home]],Table2[[#This Row],[EV Away]])</f>
        <v>-6.5213155384652701</v>
      </c>
    </row>
    <row r="18" spans="1:15" x14ac:dyDescent="0.35">
      <c r="A18" t="s">
        <v>228</v>
      </c>
      <c r="B18" t="s">
        <v>229</v>
      </c>
      <c r="C18">
        <v>-10.5560761409933</v>
      </c>
      <c r="D18">
        <v>-7.1815685396492803</v>
      </c>
      <c r="E18">
        <v>-9.5</v>
      </c>
      <c r="F18">
        <v>-109.890109890109</v>
      </c>
      <c r="G18">
        <v>9.5</v>
      </c>
      <c r="H18">
        <v>-109.890109890109</v>
      </c>
      <c r="I18">
        <v>-9.3422055850803307</v>
      </c>
      <c r="J18">
        <v>9.3422055850803307</v>
      </c>
      <c r="K18">
        <v>0.48601378543589302</v>
      </c>
      <c r="L18">
        <v>0.51398621456410598</v>
      </c>
      <c r="M18">
        <v>-12.3112291273853</v>
      </c>
      <c r="N18">
        <v>-6.6887708726146302</v>
      </c>
      <c r="O18">
        <f>MAX(Table2[[#This Row],[EV Home]],Table2[[#This Row],[EV Away]])</f>
        <v>-6.6887708726146302</v>
      </c>
    </row>
    <row r="19" spans="1:15" x14ac:dyDescent="0.35">
      <c r="A19" t="s">
        <v>218</v>
      </c>
      <c r="B19" t="s">
        <v>219</v>
      </c>
      <c r="C19">
        <v>9.6519810286687893</v>
      </c>
      <c r="D19">
        <v>5.2358111507366596</v>
      </c>
      <c r="E19">
        <v>7.5</v>
      </c>
      <c r="F19">
        <v>-105.263157894736</v>
      </c>
      <c r="G19">
        <v>-7.5</v>
      </c>
      <c r="H19">
        <v>-114.942528735632</v>
      </c>
      <c r="I19">
        <v>7.4859740224256797</v>
      </c>
      <c r="J19">
        <v>-7.4859740224256797</v>
      </c>
      <c r="K19">
        <v>0.50124345475961396</v>
      </c>
      <c r="L19">
        <v>0.49875654524038499</v>
      </c>
      <c r="M19">
        <v>-7.24509177427898</v>
      </c>
      <c r="N19">
        <v>-11.744960587644</v>
      </c>
      <c r="O19">
        <f>MAX(Table2[[#This Row],[EV Home]],Table2[[#This Row],[EV Away]])</f>
        <v>-7.24509177427898</v>
      </c>
    </row>
    <row r="20" spans="1:15" x14ac:dyDescent="0.35">
      <c r="A20" t="s">
        <v>34</v>
      </c>
      <c r="B20" t="s">
        <v>76</v>
      </c>
      <c r="C20">
        <v>-9.2193385993398298</v>
      </c>
      <c r="D20">
        <v>-6.87294063263331</v>
      </c>
      <c r="E20">
        <v>-8.5</v>
      </c>
      <c r="F20">
        <v>-109.890109890109</v>
      </c>
      <c r="G20">
        <v>8.5</v>
      </c>
      <c r="H20">
        <v>-109.890109890109</v>
      </c>
      <c r="I20">
        <v>-8.3865349039966404</v>
      </c>
      <c r="J20">
        <v>8.3865349039966404</v>
      </c>
      <c r="K20">
        <v>0.48994194930111901</v>
      </c>
      <c r="L20">
        <v>0.51005805069887999</v>
      </c>
      <c r="M20">
        <v>-11.521668190474999</v>
      </c>
      <c r="N20">
        <v>-7.4783318095249403</v>
      </c>
      <c r="O20">
        <f>MAX(Table2[[#This Row],[EV Home]],Table2[[#This Row],[EV Away]])</f>
        <v>-7.4783318095249403</v>
      </c>
    </row>
    <row r="21" spans="1:15" x14ac:dyDescent="0.35">
      <c r="A21" t="s">
        <v>226</v>
      </c>
      <c r="B21" t="s">
        <v>227</v>
      </c>
      <c r="C21">
        <v>9.4980031354540007</v>
      </c>
      <c r="D21">
        <v>5.55789231603611</v>
      </c>
      <c r="E21">
        <v>7.5</v>
      </c>
      <c r="F21">
        <v>-109.890109890109</v>
      </c>
      <c r="G21">
        <v>-7.5</v>
      </c>
      <c r="H21">
        <v>-109.890109890109</v>
      </c>
      <c r="I21">
        <v>7.5069869314362601</v>
      </c>
      <c r="J21">
        <v>-7.5069869314362601</v>
      </c>
      <c r="K21">
        <v>0.499380581946609</v>
      </c>
      <c r="L21">
        <v>0.50061941805339005</v>
      </c>
      <c r="M21">
        <v>-9.6245030287314393</v>
      </c>
      <c r="N21">
        <v>-9.3754969712685501</v>
      </c>
      <c r="O21">
        <f>MAX(Table2[[#This Row],[EV Home]],Table2[[#This Row],[EV Away]])</f>
        <v>-9.3754969712685501</v>
      </c>
    </row>
    <row r="23" spans="1:15" x14ac:dyDescent="0.35">
      <c r="C23">
        <f>AVERAGE(C3:D3)</f>
        <v>7.6444568371812949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D317-8DAE-40BC-AF03-A5D8FA70CC89}">
  <dimension ref="A1:R24"/>
  <sheetViews>
    <sheetView topLeftCell="F1" workbookViewId="0">
      <selection activeCell="R8" sqref="R8"/>
    </sheetView>
  </sheetViews>
  <sheetFormatPr defaultRowHeight="14.5" x14ac:dyDescent="0.35"/>
  <cols>
    <col min="1" max="1" width="15.36328125" bestFit="1" customWidth="1"/>
    <col min="2" max="2" width="16.08984375" bestFit="1" customWidth="1"/>
    <col min="3" max="3" width="12.6328125" bestFit="1" customWidth="1"/>
    <col min="4" max="4" width="11.81640625" bestFit="1" customWidth="1"/>
    <col min="5" max="5" width="19.08984375" bestFit="1" customWidth="1"/>
    <col min="6" max="6" width="18.1796875" bestFit="1" customWidth="1"/>
    <col min="7" max="7" width="13.6328125" customWidth="1"/>
    <col min="8" max="8" width="16.6328125" customWidth="1"/>
    <col min="9" max="9" width="13" customWidth="1"/>
    <col min="10" max="10" width="16" customWidth="1"/>
    <col min="11" max="11" width="17.1796875" customWidth="1"/>
    <col min="12" max="12" width="16.54296875" customWidth="1"/>
    <col min="13" max="13" width="10.7265625" customWidth="1"/>
    <col min="14" max="15" width="10.08984375" customWidth="1"/>
    <col min="16" max="16" width="9.453125" customWidth="1"/>
  </cols>
  <sheetData>
    <row r="1" spans="1:18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</v>
      </c>
      <c r="R1" t="s">
        <v>151</v>
      </c>
    </row>
    <row r="2" spans="1:18" x14ac:dyDescent="0.35">
      <c r="A2" t="s">
        <v>180</v>
      </c>
      <c r="B2" t="s">
        <v>181</v>
      </c>
      <c r="C2">
        <v>4.3898675126532103</v>
      </c>
      <c r="D2">
        <v>126.267892556577</v>
      </c>
      <c r="E2">
        <v>-0.130552459312579</v>
      </c>
      <c r="F2">
        <v>129.93592197738701</v>
      </c>
      <c r="G2">
        <v>7.5</v>
      </c>
      <c r="H2">
        <v>-112.35955056179699</v>
      </c>
      <c r="I2">
        <v>-7.5</v>
      </c>
      <c r="J2">
        <v>-107.52688172043</v>
      </c>
      <c r="K2">
        <v>6.1574143816675697</v>
      </c>
      <c r="L2">
        <v>-6.1574143816675697</v>
      </c>
      <c r="M2">
        <v>0.61728287718208497</v>
      </c>
      <c r="N2">
        <v>0.38271712281791398</v>
      </c>
      <c r="O2">
        <v>12.839292559234901</v>
      </c>
      <c r="P2">
        <v>-32.308424067963301</v>
      </c>
      <c r="Q2">
        <f>MAX(Table1[[#This Row],[EV Home]:[EV Away]])</f>
        <v>12.839292559234901</v>
      </c>
      <c r="R2" t="s">
        <v>5</v>
      </c>
    </row>
    <row r="3" spans="1:18" x14ac:dyDescent="0.35">
      <c r="A3" t="s">
        <v>182</v>
      </c>
      <c r="B3" t="s">
        <v>183</v>
      </c>
      <c r="C3">
        <v>1.3596040934712701</v>
      </c>
      <c r="D3">
        <v>132.21235656303099</v>
      </c>
      <c r="E3">
        <v>0.22679065819404001</v>
      </c>
      <c r="F3">
        <v>133.245424809176</v>
      </c>
      <c r="G3">
        <v>-4.5</v>
      </c>
      <c r="H3">
        <v>-104.166666666666</v>
      </c>
      <c r="I3">
        <v>4.5</v>
      </c>
      <c r="J3">
        <v>-117.64705882352899</v>
      </c>
      <c r="K3">
        <v>-3.1767006560418301</v>
      </c>
      <c r="L3">
        <v>3.1767006560418301</v>
      </c>
      <c r="M3">
        <v>0.38435353643132802</v>
      </c>
      <c r="N3">
        <v>0.61564646356867103</v>
      </c>
      <c r="O3">
        <v>-30.823171495146301</v>
      </c>
      <c r="P3">
        <v>10.0510603958909</v>
      </c>
      <c r="Q3">
        <f>MAX(Table1[[#This Row],[EV Home]:[EV Away]])</f>
        <v>10.0510603958909</v>
      </c>
      <c r="R3" t="s">
        <v>5</v>
      </c>
    </row>
    <row r="4" spans="1:18" x14ac:dyDescent="0.35">
      <c r="A4" t="s">
        <v>168</v>
      </c>
      <c r="B4" t="s">
        <v>169</v>
      </c>
      <c r="C4">
        <v>-2.1211351890913202</v>
      </c>
      <c r="D4">
        <v>145.64723063279001</v>
      </c>
      <c r="E4">
        <v>-1.82608331134593</v>
      </c>
      <c r="F4">
        <v>144.624577991948</v>
      </c>
      <c r="G4">
        <v>-4.5</v>
      </c>
      <c r="H4">
        <v>-120.481927710843</v>
      </c>
      <c r="I4">
        <v>4.5</v>
      </c>
      <c r="J4">
        <v>-102.04081632653001</v>
      </c>
      <c r="K4">
        <v>-3.8684023125546498</v>
      </c>
      <c r="L4">
        <v>3.8684023125546498</v>
      </c>
      <c r="M4">
        <v>0.44418973885916002</v>
      </c>
      <c r="N4">
        <v>0.55581026114083898</v>
      </c>
      <c r="O4">
        <v>-24.271380400181901</v>
      </c>
      <c r="P4">
        <v>5.6085343172945201</v>
      </c>
      <c r="Q4">
        <f>MAX(Table1[[#This Row],[EV Home]:[EV Away]])</f>
        <v>5.6085343172945201</v>
      </c>
      <c r="R4" t="s">
        <v>5</v>
      </c>
    </row>
    <row r="5" spans="1:18" x14ac:dyDescent="0.35">
      <c r="A5" t="s">
        <v>178</v>
      </c>
      <c r="B5" t="s">
        <v>179</v>
      </c>
      <c r="C5">
        <v>-2.8138291386681401E-2</v>
      </c>
      <c r="D5">
        <v>130.36692612535501</v>
      </c>
      <c r="E5">
        <v>-1.5341218720715</v>
      </c>
      <c r="F5">
        <v>132.37146397516901</v>
      </c>
      <c r="G5">
        <v>1.5</v>
      </c>
      <c r="H5">
        <v>-105.263157894736</v>
      </c>
      <c r="I5">
        <v>-1.5</v>
      </c>
      <c r="J5">
        <v>-114.942528735632</v>
      </c>
      <c r="K5">
        <v>0.92971747956772599</v>
      </c>
      <c r="L5">
        <v>-0.92971747956772599</v>
      </c>
      <c r="M5">
        <v>0.55042273158337396</v>
      </c>
      <c r="N5">
        <v>0.44957726841662499</v>
      </c>
      <c r="O5">
        <v>2.83665997459181</v>
      </c>
      <c r="P5">
        <v>-21.433278121924801</v>
      </c>
      <c r="Q5">
        <f>MAX(Table1[[#This Row],[EV Home]:[EV Away]])</f>
        <v>2.83665997459181</v>
      </c>
      <c r="R5" t="s">
        <v>200</v>
      </c>
    </row>
    <row r="6" spans="1:18" x14ac:dyDescent="0.35">
      <c r="A6" t="s">
        <v>156</v>
      </c>
      <c r="B6" t="s">
        <v>157</v>
      </c>
      <c r="C6">
        <v>-26.0367409839962</v>
      </c>
      <c r="D6">
        <v>141.75605744061301</v>
      </c>
      <c r="E6">
        <v>-15.803296843325301</v>
      </c>
      <c r="F6">
        <v>131.374925510738</v>
      </c>
      <c r="G6">
        <v>-23.5</v>
      </c>
      <c r="H6">
        <v>-109.890109890109</v>
      </c>
      <c r="I6">
        <v>23.5</v>
      </c>
      <c r="J6">
        <v>-109.890109890109</v>
      </c>
      <c r="K6">
        <v>-22.855004728415199</v>
      </c>
      <c r="L6">
        <v>22.855004728415199</v>
      </c>
      <c r="M6">
        <v>0.44301388061858699</v>
      </c>
      <c r="N6">
        <v>0.55698611938141196</v>
      </c>
      <c r="O6">
        <v>-20.954209995663799</v>
      </c>
      <c r="P6">
        <v>1.9542099956638199</v>
      </c>
      <c r="Q6">
        <f>MAX(Table1[[#This Row],[EV Home]:[EV Away]])</f>
        <v>1.9542099956638199</v>
      </c>
      <c r="R6" t="s">
        <v>200</v>
      </c>
    </row>
    <row r="7" spans="1:18" x14ac:dyDescent="0.35">
      <c r="A7" t="s">
        <v>160</v>
      </c>
      <c r="B7" t="s">
        <v>161</v>
      </c>
      <c r="C7">
        <v>3.1284736770008799</v>
      </c>
      <c r="D7">
        <v>126.609245989523</v>
      </c>
      <c r="E7">
        <v>0.91184159121216402</v>
      </c>
      <c r="F7">
        <v>129.982445855647</v>
      </c>
      <c r="G7">
        <v>-1.5</v>
      </c>
      <c r="H7">
        <v>-102.04081632653001</v>
      </c>
      <c r="I7">
        <v>1.5</v>
      </c>
      <c r="J7">
        <v>-120.481927710843</v>
      </c>
      <c r="K7">
        <v>-0.61996059147336802</v>
      </c>
      <c r="L7">
        <v>0.61996059147336802</v>
      </c>
      <c r="M7">
        <v>0.422475597477525</v>
      </c>
      <c r="N7">
        <v>0.57752440252247395</v>
      </c>
      <c r="O7">
        <v>-22.125075724674701</v>
      </c>
      <c r="P7">
        <v>1.46220968683764</v>
      </c>
      <c r="Q7">
        <f>MAX(Table1[[#This Row],[EV Home]:[EV Away]])</f>
        <v>1.46220968683764</v>
      </c>
      <c r="R7" t="s">
        <v>4</v>
      </c>
    </row>
    <row r="8" spans="1:18" x14ac:dyDescent="0.35">
      <c r="A8" t="s">
        <v>158</v>
      </c>
      <c r="B8" t="s">
        <v>159</v>
      </c>
      <c r="C8">
        <v>-20.804315499506799</v>
      </c>
      <c r="D8">
        <v>135.356642171109</v>
      </c>
      <c r="E8">
        <v>-12.8339031820044</v>
      </c>
      <c r="F8">
        <v>126.814729232522</v>
      </c>
      <c r="G8">
        <v>-14.5</v>
      </c>
      <c r="H8">
        <v>-109.890109890109</v>
      </c>
      <c r="I8">
        <v>14.5</v>
      </c>
      <c r="J8">
        <v>-109.890109890109</v>
      </c>
      <c r="K8">
        <v>-15.079777335188901</v>
      </c>
      <c r="L8">
        <v>15.079777335188901</v>
      </c>
      <c r="M8">
        <v>0.55125763877503897</v>
      </c>
      <c r="N8">
        <v>0.44874236122495997</v>
      </c>
      <c r="O8">
        <v>0.80278539378288305</v>
      </c>
      <c r="P8">
        <v>-19.802785393782798</v>
      </c>
      <c r="Q8">
        <f>MAX(Table1[[#This Row],[EV Home]:[EV Away]])</f>
        <v>0.80278539378288305</v>
      </c>
      <c r="R8" t="s">
        <v>4</v>
      </c>
    </row>
    <row r="9" spans="1:18" x14ac:dyDescent="0.35">
      <c r="A9" t="s">
        <v>186</v>
      </c>
      <c r="B9" t="s">
        <v>187</v>
      </c>
      <c r="G9">
        <v>-6.5</v>
      </c>
      <c r="H9">
        <v>-109.890109890109</v>
      </c>
      <c r="I9">
        <v>6.5</v>
      </c>
      <c r="J9">
        <v>-109.890109890109</v>
      </c>
      <c r="Q9">
        <f>MAX(Table1[[#This Row],[EV Home]:[EV Away]])</f>
        <v>0</v>
      </c>
    </row>
    <row r="10" spans="1:18" x14ac:dyDescent="0.35">
      <c r="A10" t="s">
        <v>188</v>
      </c>
      <c r="B10" t="s">
        <v>189</v>
      </c>
      <c r="G10">
        <v>-1.5</v>
      </c>
      <c r="H10">
        <v>-120.481927710843</v>
      </c>
      <c r="Q10">
        <f>MAX(Table1[[#This Row],[EV Home]:[EV Away]])</f>
        <v>0</v>
      </c>
    </row>
    <row r="11" spans="1:18" x14ac:dyDescent="0.35">
      <c r="A11" t="s">
        <v>190</v>
      </c>
      <c r="B11" t="s">
        <v>191</v>
      </c>
      <c r="G11">
        <v>-5.5</v>
      </c>
      <c r="H11">
        <v>-120.481927710843</v>
      </c>
      <c r="I11">
        <v>5.5</v>
      </c>
      <c r="J11">
        <v>-102.04081632653001</v>
      </c>
      <c r="Q11">
        <f>MAX(Table1[[#This Row],[EV Home]:[EV Away]])</f>
        <v>0</v>
      </c>
    </row>
    <row r="12" spans="1:18" x14ac:dyDescent="0.35">
      <c r="A12" t="s">
        <v>192</v>
      </c>
      <c r="B12" t="s">
        <v>193</v>
      </c>
      <c r="G12">
        <v>-3.5</v>
      </c>
      <c r="H12">
        <v>-109.890109890109</v>
      </c>
      <c r="I12">
        <v>3.5</v>
      </c>
      <c r="J12">
        <v>-109.890109890109</v>
      </c>
      <c r="Q12">
        <f>MAX(Table1[[#This Row],[EV Home]:[EV Away]])</f>
        <v>0</v>
      </c>
    </row>
    <row r="13" spans="1:18" x14ac:dyDescent="0.35">
      <c r="A13" t="s">
        <v>172</v>
      </c>
      <c r="B13" t="s">
        <v>173</v>
      </c>
      <c r="C13">
        <v>-8.5957082615286602</v>
      </c>
      <c r="D13">
        <v>138.23465490371399</v>
      </c>
      <c r="E13">
        <v>-5.6081994249229696</v>
      </c>
      <c r="F13">
        <v>135.38521440804601</v>
      </c>
      <c r="G13">
        <v>-5.5</v>
      </c>
      <c r="H13">
        <v>-109.890109890109</v>
      </c>
      <c r="I13">
        <v>5.5</v>
      </c>
      <c r="J13">
        <v>-109.890109890109</v>
      </c>
      <c r="K13">
        <v>-5.9004884608064501</v>
      </c>
      <c r="L13">
        <v>5.9004884608064501</v>
      </c>
      <c r="M13">
        <v>0.53545802598905901</v>
      </c>
      <c r="N13">
        <v>0.46454197401094</v>
      </c>
      <c r="O13">
        <v>-2.3729367761990101</v>
      </c>
      <c r="P13">
        <v>-16.627063223800899</v>
      </c>
      <c r="Q13">
        <f>MAX(Table1[[#This Row],[EV Home]:[EV Away]])</f>
        <v>-2.3729367761990101</v>
      </c>
    </row>
    <row r="14" spans="1:18" x14ac:dyDescent="0.35">
      <c r="A14" t="s">
        <v>166</v>
      </c>
      <c r="B14" t="s">
        <v>167</v>
      </c>
      <c r="C14">
        <v>-14.010959960890199</v>
      </c>
      <c r="D14">
        <v>142.98123784250299</v>
      </c>
      <c r="E14">
        <v>-8.3216443428662803</v>
      </c>
      <c r="F14">
        <v>138.76669222886801</v>
      </c>
      <c r="G14">
        <v>-10.5</v>
      </c>
      <c r="H14">
        <v>-102.04081632653001</v>
      </c>
      <c r="K14">
        <v>-10.6665755379695</v>
      </c>
      <c r="M14">
        <v>0.51476418927577605</v>
      </c>
      <c r="O14">
        <v>-2.9290486306385399</v>
      </c>
      <c r="Q14">
        <f>MAX(Table1[[#This Row],[EV Home]:[EV Away]])</f>
        <v>-2.9290486306385399</v>
      </c>
      <c r="R14" t="s">
        <v>199</v>
      </c>
    </row>
    <row r="15" spans="1:18" x14ac:dyDescent="0.35">
      <c r="A15" t="s">
        <v>154</v>
      </c>
      <c r="B15" t="s">
        <v>155</v>
      </c>
      <c r="C15">
        <v>6.7982444786691403</v>
      </c>
      <c r="D15">
        <v>140.05134173767101</v>
      </c>
      <c r="E15">
        <v>3.9825574083578199</v>
      </c>
      <c r="F15">
        <v>143.17539779141299</v>
      </c>
      <c r="G15">
        <v>7.5</v>
      </c>
      <c r="H15">
        <v>-120.481927710843</v>
      </c>
      <c r="I15">
        <v>-7.5</v>
      </c>
      <c r="J15">
        <v>-102.04081632653001</v>
      </c>
      <c r="K15">
        <v>6.9726002358783701</v>
      </c>
      <c r="L15">
        <v>-6.9726002358783701</v>
      </c>
      <c r="M15">
        <v>0.54664919577165205</v>
      </c>
      <c r="N15">
        <v>0.453350804228347</v>
      </c>
      <c r="O15">
        <v>-4.4967052160709802</v>
      </c>
      <c r="P15">
        <v>-15.703032720503799</v>
      </c>
      <c r="Q15">
        <f>MAX(Table1[[#This Row],[EV Home]:[EV Away]])</f>
        <v>-4.4967052160709802</v>
      </c>
    </row>
    <row r="16" spans="1:18" x14ac:dyDescent="0.35">
      <c r="A16" t="s">
        <v>176</v>
      </c>
      <c r="B16" t="s">
        <v>177</v>
      </c>
      <c r="C16">
        <v>5.2087084779335697</v>
      </c>
      <c r="D16">
        <v>126.847809416196</v>
      </c>
      <c r="E16">
        <v>2.3414082767622899</v>
      </c>
      <c r="F16">
        <v>129.98750757649799</v>
      </c>
      <c r="G16">
        <v>2.5</v>
      </c>
      <c r="H16">
        <v>-105.263157894736</v>
      </c>
      <c r="I16">
        <v>-2.5</v>
      </c>
      <c r="J16">
        <v>-114.942528735632</v>
      </c>
      <c r="K16">
        <v>2.8187645943369799</v>
      </c>
      <c r="L16">
        <v>-2.8187645943369799</v>
      </c>
      <c r="M16">
        <v>0.47176391053822803</v>
      </c>
      <c r="N16">
        <v>0.52823608946177103</v>
      </c>
      <c r="O16">
        <v>-13.2883983396631</v>
      </c>
      <c r="P16">
        <v>-5.9374903760309703</v>
      </c>
      <c r="Q16">
        <f>MAX(Table1[[#This Row],[EV Home]:[EV Away]])</f>
        <v>-5.9374903760309703</v>
      </c>
    </row>
    <row r="17" spans="1:17" x14ac:dyDescent="0.35">
      <c r="A17" t="s">
        <v>162</v>
      </c>
      <c r="B17" t="s">
        <v>163</v>
      </c>
      <c r="C17">
        <v>9.8474598854917108</v>
      </c>
      <c r="D17">
        <v>119.900578805725</v>
      </c>
      <c r="E17">
        <v>3.78543691659207</v>
      </c>
      <c r="F17">
        <v>125.811123589736</v>
      </c>
      <c r="G17">
        <v>8.5</v>
      </c>
      <c r="H17">
        <v>-120.481927710843</v>
      </c>
      <c r="I17">
        <v>-8.5</v>
      </c>
      <c r="J17">
        <v>-102.04081632653001</v>
      </c>
      <c r="K17">
        <v>8.0791121002604704</v>
      </c>
      <c r="L17">
        <v>-8.0791121002604704</v>
      </c>
      <c r="M17">
        <v>0.53725899715419101</v>
      </c>
      <c r="N17">
        <v>0.46274100284580799</v>
      </c>
      <c r="O17">
        <v>-6.3090135492411097</v>
      </c>
      <c r="P17">
        <v>-13.7498714080717</v>
      </c>
      <c r="Q17">
        <f>MAX(Table1[[#This Row],[EV Home]:[EV Away]])</f>
        <v>-6.3090135492411097</v>
      </c>
    </row>
    <row r="18" spans="1:17" x14ac:dyDescent="0.35">
      <c r="A18" t="s">
        <v>164</v>
      </c>
      <c r="B18" t="s">
        <v>165</v>
      </c>
      <c r="C18">
        <v>-20.001034823206801</v>
      </c>
      <c r="D18">
        <v>143.291925292972</v>
      </c>
      <c r="E18">
        <v>-11.780650520141</v>
      </c>
      <c r="F18">
        <v>134.70314417458101</v>
      </c>
      <c r="G18">
        <v>-16.5</v>
      </c>
      <c r="H18">
        <v>-105.263157894736</v>
      </c>
      <c r="I18">
        <v>16.5</v>
      </c>
      <c r="J18">
        <v>-114.942528735632</v>
      </c>
      <c r="K18">
        <v>-16.347710667918399</v>
      </c>
      <c r="L18">
        <v>16.347710667918399</v>
      </c>
      <c r="M18">
        <v>0.48650154255448302</v>
      </c>
      <c r="N18">
        <v>0.51349845744551603</v>
      </c>
      <c r="O18">
        <v>-10.2671837763308</v>
      </c>
      <c r="P18">
        <v>-8.8408038832332903</v>
      </c>
      <c r="Q18">
        <f>MAX(Table1[[#This Row],[EV Home]:[EV Away]])</f>
        <v>-8.8408038832332903</v>
      </c>
    </row>
    <row r="19" spans="1:17" x14ac:dyDescent="0.35">
      <c r="A19" t="s">
        <v>184</v>
      </c>
      <c r="B19" t="s">
        <v>185</v>
      </c>
      <c r="C19">
        <v>-6.6922415539323596</v>
      </c>
      <c r="D19">
        <v>133.49246509680299</v>
      </c>
      <c r="E19">
        <v>-5.7609641036644197</v>
      </c>
      <c r="F19">
        <v>132.38436483055901</v>
      </c>
      <c r="G19">
        <v>-6.5</v>
      </c>
      <c r="H19">
        <v>-107.52688172043</v>
      </c>
      <c r="I19">
        <v>6.5</v>
      </c>
      <c r="J19">
        <v>-112.35955056179699</v>
      </c>
      <c r="K19">
        <v>-6.4316507071995899</v>
      </c>
      <c r="L19">
        <v>6.4316507071995899</v>
      </c>
      <c r="M19">
        <v>0.493940805700327</v>
      </c>
      <c r="N19">
        <v>0.50605919429967305</v>
      </c>
      <c r="O19">
        <v>-9.7300164428336302</v>
      </c>
      <c r="P19">
        <v>-9.2942203343650505</v>
      </c>
      <c r="Q19">
        <f>MAX(Table1[[#This Row],[EV Home]:[EV Away]])</f>
        <v>-9.2942203343650505</v>
      </c>
    </row>
    <row r="20" spans="1:17" x14ac:dyDescent="0.35">
      <c r="A20" t="s">
        <v>170</v>
      </c>
      <c r="B20" t="s">
        <v>171</v>
      </c>
      <c r="C20">
        <v>-4.8865090356894196</v>
      </c>
      <c r="D20">
        <v>123.57791729978899</v>
      </c>
      <c r="E20">
        <v>-5.5530660022508203</v>
      </c>
      <c r="F20">
        <v>124.769787030003</v>
      </c>
      <c r="G20">
        <v>-4.5</v>
      </c>
      <c r="H20">
        <v>-120.481927710843</v>
      </c>
      <c r="I20">
        <v>4.5</v>
      </c>
      <c r="J20">
        <v>-102.04081632653001</v>
      </c>
      <c r="K20">
        <v>-4.6799468797425297</v>
      </c>
      <c r="L20">
        <v>4.6799468797425297</v>
      </c>
      <c r="M20">
        <v>0.51594873130285401</v>
      </c>
      <c r="N20">
        <v>0.48405126869714499</v>
      </c>
      <c r="O20">
        <v>-10.4218948585491</v>
      </c>
      <c r="P20">
        <v>-9.3173361109936508</v>
      </c>
      <c r="Q20">
        <f>MAX(Table1[[#This Row],[EV Home]:[EV Away]])</f>
        <v>-9.3173361109936508</v>
      </c>
    </row>
    <row r="21" spans="1:17" x14ac:dyDescent="0.35">
      <c r="A21" t="s">
        <v>174</v>
      </c>
      <c r="B21" t="s">
        <v>175</v>
      </c>
      <c r="C21">
        <v>3.0038948683651698</v>
      </c>
      <c r="D21">
        <v>137.04669780297101</v>
      </c>
      <c r="E21">
        <v>2.0127248571399798</v>
      </c>
      <c r="F21">
        <v>137.92621872554099</v>
      </c>
      <c r="G21">
        <v>1.5</v>
      </c>
      <c r="H21">
        <v>-117.64705882352899</v>
      </c>
      <c r="K21">
        <v>1.7520774656881399</v>
      </c>
      <c r="M21">
        <v>0.47766404671398299</v>
      </c>
      <c r="O21">
        <v>-16.8555108907731</v>
      </c>
      <c r="Q21">
        <f>MAX(Table1[[#This Row],[EV Home]:[EV Away]])</f>
        <v>-16.8555108907731</v>
      </c>
    </row>
    <row r="24" spans="1:17" x14ac:dyDescent="0.35">
      <c r="D24">
        <f>AVERAGE(C16,E16)</f>
        <v>3.7750583773479298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C2B1-076F-43E3-965E-3B83BA1D6133}">
  <dimension ref="A1:R21"/>
  <sheetViews>
    <sheetView topLeftCell="E1" zoomScale="79" workbookViewId="0">
      <selection activeCell="R7" sqref="A7:R8"/>
    </sheetView>
  </sheetViews>
  <sheetFormatPr defaultRowHeight="14.5" x14ac:dyDescent="0.35"/>
  <cols>
    <col min="1" max="1" width="14" bestFit="1" customWidth="1"/>
    <col min="2" max="2" width="17.54296875" bestFit="1" customWidth="1"/>
    <col min="3" max="3" width="13.26953125" bestFit="1" customWidth="1"/>
    <col min="4" max="4" width="12.26953125" bestFit="1" customWidth="1"/>
    <col min="5" max="5" width="19.81640625" bestFit="1" customWidth="1"/>
    <col min="6" max="6" width="18.7265625" bestFit="1" customWidth="1"/>
    <col min="7" max="7" width="14.90625" bestFit="1" customWidth="1"/>
    <col min="8" max="8" width="18.90625" bestFit="1" customWidth="1"/>
    <col min="9" max="9" width="18.81640625" customWidth="1"/>
    <col min="10" max="10" width="18" customWidth="1"/>
    <col min="11" max="11" width="14.26953125" customWidth="1"/>
    <col min="12" max="12" width="17.453125" customWidth="1"/>
    <col min="14" max="14" width="18.26953125" customWidth="1"/>
    <col min="15" max="15" width="11.54296875" customWidth="1"/>
    <col min="16" max="16" width="11" customWidth="1"/>
    <col min="17" max="17" width="10.81640625" customWidth="1"/>
    <col min="18" max="18" width="10.26953125" customWidth="1"/>
  </cols>
  <sheetData>
    <row r="1" spans="1:18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64</v>
      </c>
      <c r="H1" t="s">
        <v>68</v>
      </c>
      <c r="I1" t="s">
        <v>65</v>
      </c>
      <c r="J1" t="s">
        <v>66</v>
      </c>
      <c r="K1" t="s">
        <v>67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</v>
      </c>
      <c r="R1" t="s">
        <v>151</v>
      </c>
    </row>
    <row r="2" spans="1:18" x14ac:dyDescent="0.35">
      <c r="A2" t="s">
        <v>8</v>
      </c>
      <c r="B2" t="s">
        <v>106</v>
      </c>
      <c r="C2">
        <v>-14.596758801740499</v>
      </c>
      <c r="D2">
        <v>138.740552726429</v>
      </c>
      <c r="E2">
        <v>-9.6309116102494894</v>
      </c>
      <c r="F2">
        <v>133.377765340754</v>
      </c>
      <c r="G2">
        <v>-17.5</v>
      </c>
      <c r="H2">
        <v>-16.153458801498701</v>
      </c>
      <c r="I2">
        <v>-117.6470588</v>
      </c>
      <c r="J2">
        <v>17.5</v>
      </c>
      <c r="K2">
        <v>-104.16666669999999</v>
      </c>
      <c r="L2">
        <v>16.153458801498701</v>
      </c>
      <c r="M2">
        <v>0.38238175485952802</v>
      </c>
      <c r="N2" s="4">
        <v>0.61761824514047103</v>
      </c>
      <c r="O2">
        <v>-35.435557795891498</v>
      </c>
      <c r="P2">
        <v>17.229358479963899</v>
      </c>
      <c r="Q2" s="5">
        <f>MAX(Table11[[#This Row],[EV Home]:[EV Away]])</f>
        <v>17.229358479963899</v>
      </c>
      <c r="R2" t="s">
        <v>4</v>
      </c>
    </row>
    <row r="3" spans="1:18" x14ac:dyDescent="0.35">
      <c r="A3" t="s">
        <v>113</v>
      </c>
      <c r="B3" t="s">
        <v>114</v>
      </c>
      <c r="C3">
        <v>11.871680989706</v>
      </c>
      <c r="D3">
        <v>126.220307891495</v>
      </c>
      <c r="E3">
        <v>6.0723728697039503</v>
      </c>
      <c r="F3">
        <v>133.490730905763</v>
      </c>
      <c r="G3">
        <v>15.5</v>
      </c>
      <c r="H3">
        <v>13.868006732426201</v>
      </c>
      <c r="I3">
        <v>-120.4819277</v>
      </c>
      <c r="J3">
        <v>-15.5</v>
      </c>
      <c r="K3">
        <v>-102.0408163</v>
      </c>
      <c r="L3">
        <v>-13.868006732426201</v>
      </c>
      <c r="M3" s="4">
        <v>0.64157248966522795</v>
      </c>
      <c r="N3">
        <v>0.35842751033477099</v>
      </c>
      <c r="O3">
        <v>13.8234905101816</v>
      </c>
      <c r="P3">
        <v>-35.447077841234801</v>
      </c>
      <c r="Q3" s="5">
        <f>MAX(Table11[[#This Row],[EV Home]:[EV Away]])</f>
        <v>13.8234905101816</v>
      </c>
      <c r="R3" t="s">
        <v>4</v>
      </c>
    </row>
    <row r="4" spans="1:18" x14ac:dyDescent="0.35">
      <c r="A4" t="s">
        <v>120</v>
      </c>
      <c r="B4" t="s">
        <v>121</v>
      </c>
      <c r="C4">
        <v>0.83377004379114195</v>
      </c>
      <c r="D4">
        <v>137.586970562251</v>
      </c>
      <c r="E4">
        <v>-1.4772792004238</v>
      </c>
      <c r="F4">
        <v>139.63421611623599</v>
      </c>
      <c r="G4">
        <v>3.5</v>
      </c>
      <c r="H4">
        <v>2.5445613554209099</v>
      </c>
      <c r="I4">
        <v>-105.2631579</v>
      </c>
      <c r="J4">
        <v>-3.5</v>
      </c>
      <c r="K4">
        <v>-114.9425287</v>
      </c>
      <c r="L4">
        <v>-2.5445613554209099</v>
      </c>
      <c r="M4" s="4">
        <v>0.58407118583126505</v>
      </c>
      <c r="N4">
        <v>0.41592881416873401</v>
      </c>
      <c r="O4">
        <v>9.7345930926350892</v>
      </c>
      <c r="P4">
        <v>-28.0620235975417</v>
      </c>
      <c r="Q4" s="5">
        <f>MAX(Table11[[#This Row],[EV Home]:[EV Away]])</f>
        <v>9.7345930926350892</v>
      </c>
      <c r="R4" t="s">
        <v>5</v>
      </c>
    </row>
    <row r="5" spans="1:18" x14ac:dyDescent="0.35">
      <c r="A5" t="s">
        <v>128</v>
      </c>
      <c r="B5" t="s">
        <v>129</v>
      </c>
      <c r="C5">
        <v>-1.60409256139597</v>
      </c>
      <c r="D5">
        <v>135.022996223945</v>
      </c>
      <c r="E5">
        <v>-2.5452019919649298</v>
      </c>
      <c r="F5">
        <v>135.488568456314</v>
      </c>
      <c r="G5">
        <v>1.5</v>
      </c>
      <c r="H5">
        <v>0.606338180829887</v>
      </c>
      <c r="I5">
        <v>-109.8901099</v>
      </c>
      <c r="M5" s="4">
        <v>0.57870885441408904</v>
      </c>
      <c r="O5">
        <v>6.3204797324922897</v>
      </c>
      <c r="Q5" s="5">
        <f>MAX(Table11[[#This Row],[EV Home]:[EV Away]])</f>
        <v>6.3204797324922897</v>
      </c>
      <c r="R5" t="s">
        <v>4</v>
      </c>
    </row>
    <row r="6" spans="1:18" x14ac:dyDescent="0.35">
      <c r="A6" t="s">
        <v>107</v>
      </c>
      <c r="B6" t="s">
        <v>108</v>
      </c>
      <c r="C6">
        <v>2.5083458590802299</v>
      </c>
      <c r="D6">
        <v>141.53082947057499</v>
      </c>
      <c r="E6">
        <v>0.33952328827061101</v>
      </c>
      <c r="F6">
        <v>143.715696110756</v>
      </c>
      <c r="G6">
        <v>4.5</v>
      </c>
      <c r="H6">
        <v>3.7309836434188499</v>
      </c>
      <c r="I6">
        <v>-109.8901099</v>
      </c>
      <c r="J6">
        <v>-4.5</v>
      </c>
      <c r="K6">
        <v>-109.8901099</v>
      </c>
      <c r="L6">
        <v>-3.7309836434188499</v>
      </c>
      <c r="M6" s="4">
        <v>0.56784586228842304</v>
      </c>
      <c r="N6">
        <v>0.43215413771157601</v>
      </c>
      <c r="O6">
        <v>4.1370183153223703</v>
      </c>
      <c r="P6">
        <v>-23.137018323512301</v>
      </c>
      <c r="Q6" s="5">
        <f>MAX(Table11[[#This Row],[EV Home]:[EV Away]])</f>
        <v>4.1370183153223703</v>
      </c>
      <c r="R6" t="s">
        <v>4</v>
      </c>
    </row>
    <row r="7" spans="1:18" x14ac:dyDescent="0.35">
      <c r="A7" t="s">
        <v>126</v>
      </c>
      <c r="B7" t="s">
        <v>127</v>
      </c>
      <c r="C7">
        <v>-17.382777942269499</v>
      </c>
      <c r="D7">
        <v>134.88683525280001</v>
      </c>
      <c r="E7">
        <v>-11.174302032689701</v>
      </c>
      <c r="F7">
        <v>128.17530819888799</v>
      </c>
      <c r="G7">
        <v>-12.5</v>
      </c>
      <c r="H7">
        <v>-12.944634996869899</v>
      </c>
      <c r="I7">
        <v>-104.16666669999999</v>
      </c>
      <c r="J7">
        <v>12.5</v>
      </c>
      <c r="K7">
        <v>-117.6470588</v>
      </c>
      <c r="L7">
        <v>12.944634996869899</v>
      </c>
      <c r="M7" s="4">
        <v>0.53935455325232295</v>
      </c>
      <c r="N7">
        <v>0.46064544674767599</v>
      </c>
      <c r="O7">
        <v>1.1070379534096499</v>
      </c>
      <c r="P7">
        <v>-20.174137876372001</v>
      </c>
      <c r="Q7" s="5">
        <f>MAX(Table11[[#This Row],[EV Home]:[EV Away]])</f>
        <v>1.1070379534096499</v>
      </c>
      <c r="R7" t="s">
        <v>5</v>
      </c>
    </row>
    <row r="8" spans="1:18" x14ac:dyDescent="0.35">
      <c r="A8" t="s">
        <v>130</v>
      </c>
      <c r="B8" t="s">
        <v>131</v>
      </c>
      <c r="C8">
        <v>-10.476645650942</v>
      </c>
      <c r="D8">
        <v>140.665288956871</v>
      </c>
      <c r="E8">
        <v>-7.3326616592566802</v>
      </c>
      <c r="F8">
        <v>137.257366181181</v>
      </c>
      <c r="G8">
        <v>-10.5</v>
      </c>
      <c r="H8">
        <v>-10.101163413774801</v>
      </c>
      <c r="I8">
        <v>-117.6470588</v>
      </c>
      <c r="J8">
        <v>10.5</v>
      </c>
      <c r="K8">
        <v>-104.16666669999999</v>
      </c>
      <c r="L8">
        <v>10.101163413774801</v>
      </c>
      <c r="M8">
        <v>0.46468784260014201</v>
      </c>
      <c r="N8" s="4">
        <v>0.53531215739985705</v>
      </c>
      <c r="O8">
        <v>-19.385870685072501</v>
      </c>
      <c r="P8">
        <v>0.27430440792590299</v>
      </c>
      <c r="Q8" s="5">
        <f>MAX(Table11[[#This Row],[EV Home]:[EV Away]])</f>
        <v>0.27430440792590299</v>
      </c>
      <c r="R8" t="s">
        <v>5</v>
      </c>
    </row>
    <row r="9" spans="1:18" x14ac:dyDescent="0.35">
      <c r="A9" t="s">
        <v>136</v>
      </c>
      <c r="B9" t="s">
        <v>137</v>
      </c>
      <c r="C9">
        <v>-5.4958503850533003</v>
      </c>
      <c r="D9">
        <v>135.72458627338301</v>
      </c>
      <c r="E9">
        <v>-5.6971001288130498</v>
      </c>
      <c r="F9">
        <v>134.780167351301</v>
      </c>
      <c r="G9">
        <v>-7.5</v>
      </c>
      <c r="H9">
        <v>-7.0241188142332902</v>
      </c>
      <c r="I9">
        <v>-109.8901099</v>
      </c>
      <c r="J9">
        <v>7.5</v>
      </c>
      <c r="K9">
        <v>-109.8901099</v>
      </c>
      <c r="L9">
        <v>7.0241188142332902</v>
      </c>
      <c r="M9">
        <v>0.45788980889917802</v>
      </c>
      <c r="N9" s="4">
        <v>0.54211019110082104</v>
      </c>
      <c r="O9">
        <v>-17.964148415015099</v>
      </c>
      <c r="P9">
        <v>-1.0358515931748</v>
      </c>
      <c r="Q9" s="6">
        <f>MAX(Table11[[#This Row],[EV Home]:[EV Away]])</f>
        <v>-1.0358515931748</v>
      </c>
      <c r="R9" t="s">
        <v>4</v>
      </c>
    </row>
    <row r="10" spans="1:18" x14ac:dyDescent="0.35">
      <c r="A10" t="s">
        <v>9</v>
      </c>
      <c r="B10" t="s">
        <v>119</v>
      </c>
      <c r="C10">
        <v>-7.6051210951177799</v>
      </c>
      <c r="D10">
        <v>131.88839964812101</v>
      </c>
      <c r="E10">
        <v>-5.8640248392275396</v>
      </c>
      <c r="F10">
        <v>130.29525096210401</v>
      </c>
      <c r="G10">
        <v>-8.5</v>
      </c>
      <c r="H10">
        <v>-8.0586432417931597</v>
      </c>
      <c r="I10">
        <v>-109.8901099</v>
      </c>
      <c r="J10">
        <v>8.5</v>
      </c>
      <c r="K10">
        <v>-109.8901099</v>
      </c>
      <c r="L10">
        <v>8.0586432417931597</v>
      </c>
      <c r="M10">
        <v>0.46093467033517699</v>
      </c>
      <c r="N10" s="4">
        <v>0.53906532966482201</v>
      </c>
      <c r="O10">
        <v>-17.352131266404399</v>
      </c>
      <c r="P10">
        <v>-1.6478687417855999</v>
      </c>
      <c r="Q10" s="6">
        <f>MAX(Table11[[#This Row],[EV Home]:[EV Away]])</f>
        <v>-1.6478687417855999</v>
      </c>
      <c r="R10" t="s">
        <v>153</v>
      </c>
    </row>
    <row r="11" spans="1:18" x14ac:dyDescent="0.35">
      <c r="A11" t="s">
        <v>102</v>
      </c>
      <c r="B11" t="s">
        <v>103</v>
      </c>
      <c r="C11">
        <v>-1.9843688126783201</v>
      </c>
      <c r="D11">
        <v>145.949722116142</v>
      </c>
      <c r="E11">
        <v>-0.586521397655132</v>
      </c>
      <c r="F11">
        <v>145.97748597752701</v>
      </c>
      <c r="G11">
        <v>-3.5</v>
      </c>
      <c r="H11">
        <v>-2.9463612762916802</v>
      </c>
      <c r="I11">
        <v>-102.0408163</v>
      </c>
      <c r="J11">
        <v>3.5</v>
      </c>
      <c r="K11">
        <v>-120.4819277</v>
      </c>
      <c r="L11">
        <v>2.9463612762916802</v>
      </c>
      <c r="M11">
        <v>0.451041343297437</v>
      </c>
      <c r="N11" s="4">
        <v>0.54895865670256205</v>
      </c>
      <c r="O11">
        <v>-16.183400582640399</v>
      </c>
      <c r="P11">
        <v>-4.0509792523047103</v>
      </c>
      <c r="Q11" s="6">
        <f>MAX(Table11[[#This Row],[EV Home]:[EV Away]])</f>
        <v>-4.0509792523047103</v>
      </c>
      <c r="R11" t="s">
        <v>4</v>
      </c>
    </row>
    <row r="12" spans="1:18" x14ac:dyDescent="0.35">
      <c r="A12" t="s">
        <v>109</v>
      </c>
      <c r="B12" t="s">
        <v>110</v>
      </c>
      <c r="C12">
        <v>-0.46564451854716099</v>
      </c>
      <c r="D12">
        <v>138.93200805892999</v>
      </c>
      <c r="E12">
        <v>-1.39330045027349</v>
      </c>
      <c r="F12">
        <v>139.34747395842101</v>
      </c>
      <c r="G12">
        <v>-2.5</v>
      </c>
      <c r="H12">
        <v>-2.1073681211025801</v>
      </c>
      <c r="I12">
        <v>-104.16666669999999</v>
      </c>
      <c r="J12">
        <v>2.5</v>
      </c>
      <c r="K12">
        <v>-117.6470588</v>
      </c>
      <c r="L12">
        <v>2.1073681211025801</v>
      </c>
      <c r="M12">
        <v>0.46523579077785798</v>
      </c>
      <c r="N12" s="4">
        <v>0.53476420922214096</v>
      </c>
      <c r="O12">
        <v>-14.1614271140532</v>
      </c>
      <c r="P12">
        <v>-5.72097919259138</v>
      </c>
      <c r="Q12" s="6">
        <f>MAX(Table11[[#This Row],[EV Home]:[EV Away]])</f>
        <v>-5.72097919259138</v>
      </c>
      <c r="R12" t="s">
        <v>4</v>
      </c>
    </row>
    <row r="13" spans="1:18" x14ac:dyDescent="0.35">
      <c r="A13" t="s">
        <v>122</v>
      </c>
      <c r="B13" t="s">
        <v>123</v>
      </c>
      <c r="C13">
        <v>-9.6809412161656496</v>
      </c>
      <c r="D13">
        <v>142.81453790382301</v>
      </c>
      <c r="E13">
        <v>-6.93098742436898</v>
      </c>
      <c r="F13">
        <v>139.34161926417599</v>
      </c>
      <c r="G13">
        <v>-6.5</v>
      </c>
      <c r="H13">
        <v>-6.9514910800668197</v>
      </c>
      <c r="I13">
        <v>-120.4819277</v>
      </c>
      <c r="J13">
        <v>6.5</v>
      </c>
      <c r="K13">
        <v>-102.0408163</v>
      </c>
      <c r="L13">
        <v>6.9514910800668197</v>
      </c>
      <c r="M13" s="4">
        <v>0.539959365769064</v>
      </c>
      <c r="N13">
        <v>0.460040634230935</v>
      </c>
      <c r="O13">
        <v>-5.7878424025370796</v>
      </c>
      <c r="P13">
        <v>-14.3115480682435</v>
      </c>
      <c r="Q13" s="6">
        <f>MAX(Table11[[#This Row],[EV Home]:[EV Away]])</f>
        <v>-5.7878424025370796</v>
      </c>
    </row>
    <row r="14" spans="1:18" x14ac:dyDescent="0.35">
      <c r="A14" t="s">
        <v>111</v>
      </c>
      <c r="B14" t="s">
        <v>112</v>
      </c>
      <c r="C14">
        <v>7.6569243647497398</v>
      </c>
      <c r="D14">
        <v>129.57105880832401</v>
      </c>
      <c r="E14">
        <v>3.9220239219466202</v>
      </c>
      <c r="F14">
        <v>133.30351207422501</v>
      </c>
      <c r="G14">
        <v>6.5</v>
      </c>
      <c r="H14">
        <v>6.3223685358370396</v>
      </c>
      <c r="I14">
        <v>-109.8901099</v>
      </c>
      <c r="J14">
        <v>-6.5</v>
      </c>
      <c r="K14">
        <v>-109.8901099</v>
      </c>
      <c r="L14">
        <v>-6.3223685358370396</v>
      </c>
      <c r="M14" s="4">
        <v>0.51574362277316899</v>
      </c>
      <c r="N14">
        <v>0.48425637722683101</v>
      </c>
      <c r="O14">
        <v>-6.33553182681697</v>
      </c>
      <c r="P14">
        <v>-12.664468181373</v>
      </c>
      <c r="Q14" s="6">
        <f>MAX(Table11[[#This Row],[EV Home]:[EV Away]])</f>
        <v>-6.33553182681697</v>
      </c>
      <c r="R14" t="s">
        <v>4</v>
      </c>
    </row>
    <row r="15" spans="1:18" x14ac:dyDescent="0.35">
      <c r="A15" t="s">
        <v>124</v>
      </c>
      <c r="B15" t="s">
        <v>125</v>
      </c>
      <c r="C15">
        <v>4.2326743556970001</v>
      </c>
      <c r="D15">
        <v>132.17420356044499</v>
      </c>
      <c r="E15">
        <v>1.21184734885575</v>
      </c>
      <c r="F15">
        <v>134.31099566563699</v>
      </c>
      <c r="J15">
        <v>-2.5</v>
      </c>
      <c r="K15">
        <v>-106.3829787</v>
      </c>
      <c r="L15">
        <v>-2.55556521306909</v>
      </c>
      <c r="N15">
        <v>0.50492594433817395</v>
      </c>
      <c r="P15">
        <v>-6.9951073445706404</v>
      </c>
      <c r="Q15" s="6">
        <f>MAX(Table11[[#This Row],[EV Home]:[EV Away]])</f>
        <v>-6.9951073445706404</v>
      </c>
      <c r="R15" t="s">
        <v>5</v>
      </c>
    </row>
    <row r="16" spans="1:18" x14ac:dyDescent="0.35">
      <c r="A16" t="s">
        <v>104</v>
      </c>
      <c r="B16" t="s">
        <v>105</v>
      </c>
      <c r="C16">
        <v>3.3583604800779998</v>
      </c>
      <c r="D16">
        <v>128.63768116348899</v>
      </c>
      <c r="E16">
        <v>0.70992997673313096</v>
      </c>
      <c r="F16">
        <v>129.30122789877299</v>
      </c>
      <c r="G16">
        <v>2.5</v>
      </c>
      <c r="H16">
        <v>2.38353630710139</v>
      </c>
      <c r="I16">
        <v>-109.8901099</v>
      </c>
      <c r="J16">
        <v>-2.5</v>
      </c>
      <c r="K16">
        <v>-109.8901099</v>
      </c>
      <c r="L16">
        <v>-2.38353630710139</v>
      </c>
      <c r="M16" s="4">
        <v>0.51032380108419995</v>
      </c>
      <c r="N16">
        <v>0.489676198915799</v>
      </c>
      <c r="O16">
        <v>-7.4249159862552201</v>
      </c>
      <c r="P16">
        <v>-11.5750840219347</v>
      </c>
      <c r="Q16" s="6">
        <f>MAX(Table11[[#This Row],[EV Home]:[EV Away]])</f>
        <v>-7.4249159862552201</v>
      </c>
    </row>
    <row r="17" spans="1:18" x14ac:dyDescent="0.35">
      <c r="A17" t="s">
        <v>132</v>
      </c>
      <c r="B17" t="s">
        <v>133</v>
      </c>
      <c r="C17">
        <v>-6.2221036925165301</v>
      </c>
      <c r="D17">
        <v>145.22280099830101</v>
      </c>
      <c r="E17">
        <v>-6.0561255948813697</v>
      </c>
      <c r="F17">
        <v>144.23541075465499</v>
      </c>
      <c r="G17">
        <v>-6.5</v>
      </c>
      <c r="H17">
        <v>-6.4097786609247303</v>
      </c>
      <c r="I17">
        <v>-102.0408163</v>
      </c>
      <c r="J17">
        <v>6.5</v>
      </c>
      <c r="K17">
        <v>-120.4819277</v>
      </c>
      <c r="L17">
        <v>6.4097786609247303</v>
      </c>
      <c r="M17">
        <v>0.49200206765789101</v>
      </c>
      <c r="N17" s="4">
        <v>0.50799793234210799</v>
      </c>
      <c r="O17">
        <v>-7.6635699146223999</v>
      </c>
      <c r="P17">
        <v>-11.956399054178201</v>
      </c>
      <c r="Q17" s="6">
        <f>MAX(Table11[[#This Row],[EV Home]:[EV Away]])</f>
        <v>-7.6635699146223999</v>
      </c>
      <c r="R17" t="s">
        <v>5</v>
      </c>
    </row>
    <row r="18" spans="1:18" x14ac:dyDescent="0.35">
      <c r="A18" t="s">
        <v>115</v>
      </c>
      <c r="B18" t="s">
        <v>116</v>
      </c>
      <c r="C18">
        <v>-17.255480568071398</v>
      </c>
      <c r="D18">
        <v>146.372068259104</v>
      </c>
      <c r="E18">
        <v>-10.6183827321944</v>
      </c>
      <c r="F18">
        <v>139.40306929790901</v>
      </c>
      <c r="G18">
        <v>-13.5</v>
      </c>
      <c r="H18">
        <v>-13.6092329125332</v>
      </c>
      <c r="I18">
        <v>-120.4819277</v>
      </c>
      <c r="J18">
        <v>13.5</v>
      </c>
      <c r="K18">
        <v>-102.0408163</v>
      </c>
      <c r="L18">
        <v>13.6092329125332</v>
      </c>
      <c r="M18" s="4">
        <v>0.50968296624140397</v>
      </c>
      <c r="N18">
        <v>0.49031703375859498</v>
      </c>
      <c r="O18">
        <v>-11.631187511601601</v>
      </c>
      <c r="P18">
        <v>-8.0140569657188401</v>
      </c>
      <c r="Q18" s="6">
        <f>MAX(Table11[[#This Row],[EV Home]:[EV Away]])</f>
        <v>-8.0140569657188401</v>
      </c>
    </row>
    <row r="19" spans="1:18" x14ac:dyDescent="0.35">
      <c r="A19" t="s">
        <v>117</v>
      </c>
      <c r="B19" t="s">
        <v>118</v>
      </c>
      <c r="C19">
        <v>-3.7631507393942298</v>
      </c>
      <c r="D19">
        <v>135.50284614952801</v>
      </c>
      <c r="E19">
        <v>-4.2173137916336501</v>
      </c>
      <c r="F19">
        <v>136.58269928495699</v>
      </c>
      <c r="G19">
        <v>-3.5</v>
      </c>
      <c r="H19">
        <v>-3.6225580663784802</v>
      </c>
      <c r="I19">
        <v>-112.35955060000001</v>
      </c>
      <c r="J19">
        <v>3.5</v>
      </c>
      <c r="K19">
        <v>-107.5268817</v>
      </c>
      <c r="L19">
        <v>3.6225580663784802</v>
      </c>
      <c r="M19" s="4">
        <v>0.51086390014833705</v>
      </c>
      <c r="N19">
        <v>0.48913609985166201</v>
      </c>
      <c r="O19">
        <v>-8.3380838859396498</v>
      </c>
      <c r="P19">
        <v>-10.705371721469399</v>
      </c>
      <c r="Q19" s="6">
        <f>MAX(Table11[[#This Row],[EV Home]:[EV Away]])</f>
        <v>-8.3380838859396498</v>
      </c>
    </row>
    <row r="20" spans="1:18" x14ac:dyDescent="0.35">
      <c r="A20" t="s">
        <v>138</v>
      </c>
      <c r="B20" t="s">
        <v>139</v>
      </c>
      <c r="C20">
        <v>4.9409997903591201</v>
      </c>
      <c r="D20">
        <v>130.8528548223</v>
      </c>
      <c r="E20">
        <v>1.98695054976612</v>
      </c>
      <c r="F20">
        <v>134.45358008530101</v>
      </c>
      <c r="G20">
        <v>3.5</v>
      </c>
      <c r="H20">
        <v>3.49099379251565</v>
      </c>
      <c r="I20">
        <v>-113.6363636</v>
      </c>
      <c r="M20" s="4">
        <v>0.50079843434510296</v>
      </c>
      <c r="O20">
        <v>-10.841909985567099</v>
      </c>
      <c r="Q20" s="6">
        <f>MAX(Table11[[#This Row],[EV Home]:[EV Away]])</f>
        <v>-10.841909985567099</v>
      </c>
      <c r="R20" t="s">
        <v>5</v>
      </c>
    </row>
    <row r="21" spans="1:18" x14ac:dyDescent="0.35">
      <c r="A21" t="s">
        <v>134</v>
      </c>
      <c r="B21" t="s">
        <v>135</v>
      </c>
      <c r="C21">
        <v>-13.0111633141928</v>
      </c>
      <c r="D21">
        <v>134.26720523148799</v>
      </c>
      <c r="E21">
        <v>-7.5561073631697404</v>
      </c>
      <c r="F21">
        <v>128.84689375514299</v>
      </c>
      <c r="J21">
        <v>7.5</v>
      </c>
      <c r="K21">
        <v>-102.0408163</v>
      </c>
      <c r="L21">
        <v>8.1959088346703197</v>
      </c>
      <c r="N21">
        <v>0.43855004100483902</v>
      </c>
      <c r="P21">
        <v>-18.781591459819101</v>
      </c>
      <c r="Q21" s="6">
        <f>MAX(Table11[[#This Row],[EV Home]:[EV Away]])</f>
        <v>-18.781591459819101</v>
      </c>
      <c r="R21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22D8-588E-4E83-BB62-F54AC79636E1}">
  <dimension ref="A1:Q21"/>
  <sheetViews>
    <sheetView workbookViewId="0">
      <selection activeCell="A5" sqref="A5:XFD5"/>
    </sheetView>
  </sheetViews>
  <sheetFormatPr defaultRowHeight="14.5" x14ac:dyDescent="0.35"/>
  <cols>
    <col min="1" max="2" width="18.453125" bestFit="1" customWidth="1"/>
    <col min="3" max="3" width="13" customWidth="1"/>
    <col min="4" max="4" width="12.26953125" customWidth="1"/>
    <col min="5" max="5" width="20" customWidth="1"/>
    <col min="6" max="6" width="19.26953125" customWidth="1"/>
    <col min="7" max="7" width="14.81640625" customWidth="1"/>
    <col min="8" max="8" width="18" customWidth="1"/>
    <col min="9" max="9" width="14.26953125" customWidth="1"/>
    <col min="10" max="10" width="17.453125" customWidth="1"/>
    <col min="11" max="11" width="18.81640625" customWidth="1"/>
    <col min="12" max="12" width="18.26953125" customWidth="1"/>
    <col min="13" max="13" width="11.54296875" customWidth="1"/>
    <col min="14" max="14" width="11" customWidth="1"/>
    <col min="15" max="15" width="10.81640625" customWidth="1"/>
    <col min="16" max="16" width="10.26953125" customWidth="1"/>
  </cols>
  <sheetData>
    <row r="1" spans="1:17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</v>
      </c>
    </row>
    <row r="2" spans="1:17" x14ac:dyDescent="0.35">
      <c r="A2" t="s">
        <v>8</v>
      </c>
      <c r="B2" t="s">
        <v>106</v>
      </c>
      <c r="C2">
        <v>-13.9944065570573</v>
      </c>
      <c r="D2">
        <v>138.55578724257199</v>
      </c>
      <c r="E2">
        <v>-9.91273980362873</v>
      </c>
      <c r="F2">
        <v>134.59980371012301</v>
      </c>
      <c r="G2">
        <v>-17.5</v>
      </c>
      <c r="H2">
        <v>-120.481927710843</v>
      </c>
      <c r="I2">
        <v>17.5</v>
      </c>
      <c r="J2">
        <v>-102.04081632653001</v>
      </c>
      <c r="K2">
        <v>-16.1133932950857</v>
      </c>
      <c r="L2">
        <v>16.1133932950857</v>
      </c>
      <c r="M2">
        <v>0.37898987216663399</v>
      </c>
      <c r="N2">
        <v>0.62101012783336496</v>
      </c>
      <c r="O2">
        <v>-36.854954671839401</v>
      </c>
      <c r="P2">
        <v>19.170106589339898</v>
      </c>
      <c r="Q2">
        <f>MAX(Table10[[#This Row],[EV Home]:[EV Away]])</f>
        <v>19.170106589339898</v>
      </c>
    </row>
    <row r="3" spans="1:17" x14ac:dyDescent="0.35">
      <c r="A3" t="s">
        <v>113</v>
      </c>
      <c r="B3" t="s">
        <v>114</v>
      </c>
      <c r="C3">
        <v>13.3761760909681</v>
      </c>
      <c r="D3">
        <v>126.73166806098099</v>
      </c>
      <c r="E3">
        <v>5.1992544274997998</v>
      </c>
      <c r="F3">
        <v>133.73091460646299</v>
      </c>
      <c r="G3">
        <v>13.5</v>
      </c>
      <c r="H3">
        <v>-106.38297872340399</v>
      </c>
      <c r="I3">
        <v>-13.5</v>
      </c>
      <c r="J3">
        <v>-113.636363636363</v>
      </c>
      <c r="K3">
        <v>12.4469288148084</v>
      </c>
      <c r="L3">
        <v>-12.4469288148084</v>
      </c>
      <c r="M3">
        <v>0.592513651063168</v>
      </c>
      <c r="N3">
        <v>0.407486348936831</v>
      </c>
      <c r="O3">
        <v>10.8727848168863</v>
      </c>
      <c r="P3">
        <v>-29.3177029105073</v>
      </c>
      <c r="Q3">
        <f>MAX(Table10[[#This Row],[EV Home]:[EV Away]])</f>
        <v>10.8727848168863</v>
      </c>
    </row>
    <row r="4" spans="1:17" x14ac:dyDescent="0.35">
      <c r="A4" t="s">
        <v>9</v>
      </c>
      <c r="B4" t="s">
        <v>119</v>
      </c>
      <c r="C4">
        <v>-6.4562238023590899</v>
      </c>
      <c r="D4">
        <v>130.341792108905</v>
      </c>
      <c r="E4">
        <v>-6.5225726819076399</v>
      </c>
      <c r="F4">
        <v>129.791931386773</v>
      </c>
      <c r="G4">
        <v>-9.5</v>
      </c>
      <c r="H4">
        <v>-109.890109890109</v>
      </c>
      <c r="I4">
        <v>9.5</v>
      </c>
      <c r="J4">
        <v>-109.890109890109</v>
      </c>
      <c r="K4">
        <v>-8.7473495605333405</v>
      </c>
      <c r="L4">
        <v>8.7473495605333405</v>
      </c>
      <c r="M4">
        <v>0.43358444807568602</v>
      </c>
      <c r="N4">
        <v>0.56641555192431303</v>
      </c>
      <c r="O4">
        <v>-22.849525936787</v>
      </c>
      <c r="P4">
        <v>3.84952593678705</v>
      </c>
      <c r="Q4">
        <f>MAX(Table10[[#This Row],[EV Home]:[EV Away]])</f>
        <v>3.84952593678705</v>
      </c>
    </row>
    <row r="5" spans="1:17" x14ac:dyDescent="0.35">
      <c r="A5" t="s">
        <v>102</v>
      </c>
      <c r="B5" t="s">
        <v>103</v>
      </c>
      <c r="C5">
        <v>0.385486035459497</v>
      </c>
      <c r="D5">
        <v>146.464779974962</v>
      </c>
      <c r="E5">
        <v>-1.34552463787153</v>
      </c>
      <c r="F5">
        <v>144.91008393399699</v>
      </c>
      <c r="G5">
        <v>-2.5</v>
      </c>
      <c r="H5">
        <v>-117.64705882352899</v>
      </c>
      <c r="I5">
        <v>2.5</v>
      </c>
      <c r="J5">
        <v>-104.166666666666</v>
      </c>
      <c r="K5">
        <v>-1.9950048253015</v>
      </c>
      <c r="L5">
        <v>1.9950048253015</v>
      </c>
      <c r="M5">
        <v>0.45532402993579701</v>
      </c>
      <c r="N5">
        <v>0.54467597006420199</v>
      </c>
      <c r="O5">
        <v>-21.211814162519399</v>
      </c>
      <c r="P5">
        <v>2.2032498332256401</v>
      </c>
      <c r="Q5">
        <f>MAX(Table10[[#This Row],[EV Home]:[EV Away]])</f>
        <v>2.2032498332256401</v>
      </c>
    </row>
    <row r="6" spans="1:17" x14ac:dyDescent="0.35">
      <c r="A6" t="s">
        <v>120</v>
      </c>
      <c r="B6" t="s">
        <v>121</v>
      </c>
      <c r="C6">
        <v>-8.5633411101691398E-2</v>
      </c>
      <c r="D6">
        <v>138.97023868638399</v>
      </c>
      <c r="E6">
        <v>-1.27178623820503</v>
      </c>
      <c r="F6">
        <v>140.275067016262</v>
      </c>
      <c r="G6">
        <v>1.5</v>
      </c>
      <c r="H6">
        <v>-109.890109890109</v>
      </c>
      <c r="I6">
        <v>-1.5</v>
      </c>
      <c r="J6">
        <v>-109.890109890109</v>
      </c>
      <c r="K6">
        <v>0.95532254383665904</v>
      </c>
      <c r="L6">
        <v>-0.95532254383665904</v>
      </c>
      <c r="M6">
        <v>0.54817009978873299</v>
      </c>
      <c r="N6">
        <v>0.45182990021126601</v>
      </c>
      <c r="O6">
        <v>0.18219005753537201</v>
      </c>
      <c r="P6">
        <v>-19.182190057535301</v>
      </c>
      <c r="Q6">
        <f>MAX(Table10[[#This Row],[EV Home]:[EV Away]])</f>
        <v>0.18219005753537201</v>
      </c>
    </row>
    <row r="7" spans="1:17" x14ac:dyDescent="0.35">
      <c r="A7" t="s">
        <v>107</v>
      </c>
      <c r="B7" t="s">
        <v>108</v>
      </c>
      <c r="C7">
        <v>2.0905833615775</v>
      </c>
      <c r="D7">
        <v>141.10034456083801</v>
      </c>
      <c r="E7">
        <v>0.57353934726931899</v>
      </c>
      <c r="F7">
        <v>142.765346474523</v>
      </c>
      <c r="G7">
        <v>4.5</v>
      </c>
      <c r="H7">
        <v>-120.481927710843</v>
      </c>
      <c r="I7">
        <v>-4.5</v>
      </c>
      <c r="J7">
        <v>-102.04081632653001</v>
      </c>
      <c r="K7">
        <v>3.7080153386058501</v>
      </c>
      <c r="L7">
        <v>-3.7080153386058501</v>
      </c>
      <c r="M7">
        <v>0.56985168984867396</v>
      </c>
      <c r="N7">
        <v>0.43014831015132499</v>
      </c>
      <c r="O7">
        <v>-1.8623859205859999E-2</v>
      </c>
      <c r="P7">
        <v>-20.529151488524199</v>
      </c>
      <c r="Q7">
        <f>MAX(Table10[[#This Row],[EV Home]:[EV Away]])</f>
        <v>-1.8623859205859999E-2</v>
      </c>
    </row>
    <row r="8" spans="1:17" x14ac:dyDescent="0.35">
      <c r="A8" t="s">
        <v>136</v>
      </c>
      <c r="B8" t="s">
        <v>137</v>
      </c>
      <c r="C8">
        <v>-5.8560752343944698</v>
      </c>
      <c r="D8">
        <v>134.94712741304301</v>
      </c>
      <c r="E8">
        <v>-5.1545186986612102</v>
      </c>
      <c r="F8">
        <v>134.577886364855</v>
      </c>
      <c r="G8">
        <v>-7.5</v>
      </c>
      <c r="H8">
        <v>-109.890109890109</v>
      </c>
      <c r="I8">
        <v>7.5</v>
      </c>
      <c r="J8">
        <v>-109.890109890109</v>
      </c>
      <c r="K8">
        <v>-7.0013242416319601</v>
      </c>
      <c r="L8">
        <v>7.0013242416319601</v>
      </c>
      <c r="M8">
        <v>0.45588079751266197</v>
      </c>
      <c r="N8">
        <v>0.54411920248733703</v>
      </c>
      <c r="O8">
        <v>-18.367959699954799</v>
      </c>
      <c r="P8">
        <v>-0.63204030004516898</v>
      </c>
      <c r="Q8">
        <f>MAX(Table10[[#This Row],[EV Home]:[EV Away]])</f>
        <v>-0.63204030004516898</v>
      </c>
    </row>
    <row r="9" spans="1:17" x14ac:dyDescent="0.35">
      <c r="A9" t="s">
        <v>134</v>
      </c>
      <c r="B9" t="s">
        <v>135</v>
      </c>
      <c r="C9">
        <v>-13.1779009497009</v>
      </c>
      <c r="D9">
        <v>134.812575670211</v>
      </c>
      <c r="E9">
        <v>-7.38835183753263</v>
      </c>
      <c r="F9">
        <v>129.58510060443501</v>
      </c>
      <c r="G9">
        <v>-7.5</v>
      </c>
      <c r="H9">
        <v>-120.481927710843</v>
      </c>
      <c r="I9">
        <v>7.5</v>
      </c>
      <c r="J9">
        <v>-102.04081632653001</v>
      </c>
      <c r="K9">
        <v>-8.1957815984041904</v>
      </c>
      <c r="L9">
        <v>8.1957815984041904</v>
      </c>
      <c r="M9">
        <v>0.56143881306724497</v>
      </c>
      <c r="N9">
        <v>0.43856118693275498</v>
      </c>
      <c r="O9">
        <v>-1.64230907802171</v>
      </c>
      <c r="P9">
        <v>-18.7792731179869</v>
      </c>
      <c r="Q9">
        <f>MAX(Table10[[#This Row],[EV Home]:[EV Away]])</f>
        <v>-1.64230907802171</v>
      </c>
    </row>
    <row r="10" spans="1:17" x14ac:dyDescent="0.35">
      <c r="A10" t="s">
        <v>128</v>
      </c>
      <c r="B10" t="s">
        <v>129</v>
      </c>
      <c r="C10">
        <v>-1.7214457792369899</v>
      </c>
      <c r="D10">
        <v>135.72534944249199</v>
      </c>
      <c r="E10">
        <v>-2.7107491911104802</v>
      </c>
      <c r="F10">
        <v>135.336171717366</v>
      </c>
      <c r="G10">
        <v>-1.5</v>
      </c>
      <c r="H10">
        <v>-102.04081632653001</v>
      </c>
      <c r="I10">
        <v>1.5</v>
      </c>
      <c r="J10">
        <v>-120.481927710843</v>
      </c>
      <c r="K10">
        <v>-1.6790243712934301</v>
      </c>
      <c r="L10">
        <v>1.6790243712934301</v>
      </c>
      <c r="M10">
        <v>0.51586701241433697</v>
      </c>
      <c r="N10">
        <v>0.48413298758566198</v>
      </c>
      <c r="O10">
        <v>-2.6996614178178402</v>
      </c>
      <c r="P10">
        <v>-16.562333395967102</v>
      </c>
      <c r="Q10">
        <f>MAX(Table10[[#This Row],[EV Home]:[EV Away]])</f>
        <v>-2.6996614178178402</v>
      </c>
    </row>
    <row r="11" spans="1:17" x14ac:dyDescent="0.35">
      <c r="A11" t="s">
        <v>115</v>
      </c>
      <c r="B11" t="s">
        <v>116</v>
      </c>
      <c r="C11">
        <v>-16.761826202921199</v>
      </c>
      <c r="D11">
        <v>146.36355296602099</v>
      </c>
      <c r="E11">
        <v>-11.1329343068786</v>
      </c>
      <c r="F11">
        <v>139.171286429708</v>
      </c>
      <c r="G11">
        <v>-14.5</v>
      </c>
      <c r="H11">
        <v>-120.481927710843</v>
      </c>
      <c r="I11">
        <v>14.5</v>
      </c>
      <c r="J11">
        <v>-102.04081632653001</v>
      </c>
      <c r="K11">
        <v>-14.3618450637249</v>
      </c>
      <c r="L11">
        <v>14.3618450637249</v>
      </c>
      <c r="M11">
        <v>0.48775395816828498</v>
      </c>
      <c r="N11">
        <v>0.51224604183171396</v>
      </c>
      <c r="O11">
        <v>-15.8634860735209</v>
      </c>
      <c r="P11">
        <v>-3.4528232990033301</v>
      </c>
      <c r="Q11">
        <f>MAX(Table10[[#This Row],[EV Home]:[EV Away]])</f>
        <v>-3.4528232990033301</v>
      </c>
    </row>
    <row r="12" spans="1:17" x14ac:dyDescent="0.35">
      <c r="A12" t="s">
        <v>130</v>
      </c>
      <c r="B12" t="s">
        <v>131</v>
      </c>
      <c r="C12">
        <v>-10.8677049885386</v>
      </c>
      <c r="D12">
        <v>141.271274108748</v>
      </c>
      <c r="E12">
        <v>-6.6824394796639304</v>
      </c>
      <c r="F12">
        <v>137.46943304223399</v>
      </c>
      <c r="G12">
        <v>-10.5</v>
      </c>
      <c r="H12">
        <v>-105.263157894736</v>
      </c>
      <c r="I12">
        <v>10.5</v>
      </c>
      <c r="J12">
        <v>-114.942528735632</v>
      </c>
      <c r="K12">
        <v>-10.068768058525301</v>
      </c>
      <c r="L12">
        <v>10.068768058525301</v>
      </c>
      <c r="M12">
        <v>0.46182806513140201</v>
      </c>
      <c r="N12">
        <v>0.53817193486859705</v>
      </c>
      <c r="O12">
        <v>-15.3252466480625</v>
      </c>
      <c r="P12">
        <v>-3.9801288308862399</v>
      </c>
      <c r="Q12">
        <f>MAX(Table10[[#This Row],[EV Home]:[EV Away]])</f>
        <v>-3.9801288308862399</v>
      </c>
    </row>
    <row r="13" spans="1:17" x14ac:dyDescent="0.35">
      <c r="A13" t="s">
        <v>109</v>
      </c>
      <c r="B13" t="s">
        <v>110</v>
      </c>
      <c r="C13">
        <v>-8.48972972805455E-2</v>
      </c>
      <c r="D13">
        <v>138.36313130237301</v>
      </c>
      <c r="E13">
        <v>-1.68767541532388</v>
      </c>
      <c r="F13">
        <v>138.73829162208</v>
      </c>
      <c r="G13">
        <v>-1.5</v>
      </c>
      <c r="H13">
        <v>-114.942528735632</v>
      </c>
      <c r="I13">
        <v>1.5</v>
      </c>
      <c r="J13">
        <v>-105.263157894736</v>
      </c>
      <c r="K13">
        <v>-1.3465715890755501</v>
      </c>
      <c r="L13">
        <v>1.3465715890755501</v>
      </c>
      <c r="M13">
        <v>0.48640061708531601</v>
      </c>
      <c r="N13">
        <v>0.51359938291468299</v>
      </c>
      <c r="O13">
        <v>-14.179078434192601</v>
      </c>
      <c r="P13">
        <v>-4.7121265024898502</v>
      </c>
      <c r="Q13">
        <f>MAX(Table10[[#This Row],[EV Home]:[EV Away]])</f>
        <v>-4.7121265024898502</v>
      </c>
    </row>
    <row r="14" spans="1:17" x14ac:dyDescent="0.35">
      <c r="A14" t="s">
        <v>111</v>
      </c>
      <c r="B14" t="s">
        <v>112</v>
      </c>
      <c r="C14">
        <v>8.1235953363368196</v>
      </c>
      <c r="D14">
        <v>129.847654005252</v>
      </c>
      <c r="E14">
        <v>3.6328134679373001</v>
      </c>
      <c r="F14">
        <v>132.76925593330699</v>
      </c>
      <c r="G14">
        <v>6.5</v>
      </c>
      <c r="H14">
        <v>-106.38297872340399</v>
      </c>
      <c r="I14">
        <v>-6.5</v>
      </c>
      <c r="J14">
        <v>-113.636363636363</v>
      </c>
      <c r="K14">
        <v>6.3445511005342601</v>
      </c>
      <c r="L14">
        <v>-6.3445511005342601</v>
      </c>
      <c r="M14">
        <v>0.51377840152236398</v>
      </c>
      <c r="N14">
        <v>0.48622159847763502</v>
      </c>
      <c r="O14">
        <v>-5.1892060894376604</v>
      </c>
      <c r="P14">
        <v>-13.728123501428099</v>
      </c>
      <c r="Q14">
        <f>MAX(Table10[[#This Row],[EV Home]:[EV Away]])</f>
        <v>-5.1892060894376604</v>
      </c>
    </row>
    <row r="15" spans="1:17" x14ac:dyDescent="0.35">
      <c r="A15" t="s">
        <v>124</v>
      </c>
      <c r="B15" t="s">
        <v>125</v>
      </c>
      <c r="C15">
        <v>4.6380714865915902</v>
      </c>
      <c r="D15">
        <v>132.743704392908</v>
      </c>
      <c r="E15">
        <v>1.5353888090591801</v>
      </c>
      <c r="F15">
        <v>133.377890044715</v>
      </c>
      <c r="G15">
        <v>2.5</v>
      </c>
      <c r="H15">
        <v>-113.636363636363</v>
      </c>
      <c r="I15">
        <v>-2.5</v>
      </c>
      <c r="J15">
        <v>-106.38297872340399</v>
      </c>
      <c r="K15">
        <v>2.64668253695634</v>
      </c>
      <c r="L15">
        <v>-2.64668253695634</v>
      </c>
      <c r="M15">
        <v>0.486998332259373</v>
      </c>
      <c r="N15">
        <v>0.51300166774062606</v>
      </c>
      <c r="O15">
        <v>-13.574330212644</v>
      </c>
      <c r="P15">
        <v>-5.3476597809121502</v>
      </c>
      <c r="Q15">
        <f>MAX(Table10[[#This Row],[EV Home]:[EV Away]])</f>
        <v>-5.3476597809121502</v>
      </c>
    </row>
    <row r="16" spans="1:17" x14ac:dyDescent="0.35">
      <c r="A16" t="s">
        <v>126</v>
      </c>
      <c r="B16" t="s">
        <v>127</v>
      </c>
      <c r="C16">
        <v>-16.859991768686399</v>
      </c>
      <c r="D16">
        <v>134.16339385310701</v>
      </c>
      <c r="E16">
        <v>-11.8462772797971</v>
      </c>
      <c r="F16">
        <v>127.041141684305</v>
      </c>
      <c r="G16">
        <v>-13.5</v>
      </c>
      <c r="H16">
        <v>-109.890109890109</v>
      </c>
      <c r="I16">
        <v>13.5</v>
      </c>
      <c r="J16">
        <v>-109.890109890109</v>
      </c>
      <c r="K16">
        <v>-13.713283631060399</v>
      </c>
      <c r="L16">
        <v>13.713283631060399</v>
      </c>
      <c r="M16">
        <v>0.51890133594889898</v>
      </c>
      <c r="N16">
        <v>0.48109866405110002</v>
      </c>
      <c r="O16">
        <v>-5.7008314742712098</v>
      </c>
      <c r="P16">
        <v>-13.2991685257287</v>
      </c>
      <c r="Q16">
        <f>MAX(Table10[[#This Row],[EV Home]:[EV Away]])</f>
        <v>-5.7008314742712098</v>
      </c>
    </row>
    <row r="17" spans="1:17" x14ac:dyDescent="0.35">
      <c r="A17" t="s">
        <v>104</v>
      </c>
      <c r="B17" t="s">
        <v>105</v>
      </c>
      <c r="C17">
        <v>3.3153259209341099</v>
      </c>
      <c r="D17">
        <v>129.29717052144301</v>
      </c>
      <c r="E17">
        <v>0.93732981711665497</v>
      </c>
      <c r="F17">
        <v>129.817025777476</v>
      </c>
      <c r="G17">
        <v>2.5</v>
      </c>
      <c r="H17">
        <v>-105.263157894736</v>
      </c>
      <c r="I17">
        <v>-2.5</v>
      </c>
      <c r="J17">
        <v>-114.942528735632</v>
      </c>
      <c r="K17">
        <v>2.40658196725634</v>
      </c>
      <c r="L17">
        <v>-2.40658196725634</v>
      </c>
      <c r="M17">
        <v>0.50828127251659205</v>
      </c>
      <c r="N17">
        <v>0.491718727483407</v>
      </c>
      <c r="O17">
        <v>-5.8023391340985802</v>
      </c>
      <c r="P17">
        <v>-13.1314106857686</v>
      </c>
      <c r="Q17">
        <f>MAX(Table10[[#This Row],[EV Home]:[EV Away]])</f>
        <v>-5.8023391340985802</v>
      </c>
    </row>
    <row r="18" spans="1:17" x14ac:dyDescent="0.35">
      <c r="A18" t="s">
        <v>117</v>
      </c>
      <c r="B18" t="s">
        <v>118</v>
      </c>
      <c r="C18">
        <v>-4.1009621707077502</v>
      </c>
      <c r="D18">
        <v>136.05666681338201</v>
      </c>
      <c r="E18">
        <v>-3.8802252368219601</v>
      </c>
      <c r="F18">
        <v>134.890805692378</v>
      </c>
      <c r="G18">
        <v>-3.5</v>
      </c>
      <c r="H18">
        <v>-107.52688172043</v>
      </c>
      <c r="I18">
        <v>3.5</v>
      </c>
      <c r="J18">
        <v>-112.35955056179699</v>
      </c>
      <c r="K18">
        <v>-3.6226484259412102</v>
      </c>
      <c r="L18">
        <v>3.6226484259412102</v>
      </c>
      <c r="M18">
        <v>0.51087190789793702</v>
      </c>
      <c r="N18">
        <v>0.48912809210206198</v>
      </c>
      <c r="O18">
        <v>-6.2930026967186796</v>
      </c>
      <c r="P18">
        <v>-12.6635096716895</v>
      </c>
      <c r="Q18">
        <f>MAX(Table10[[#This Row],[EV Home]:[EV Away]])</f>
        <v>-6.2930026967186796</v>
      </c>
    </row>
    <row r="19" spans="1:17" x14ac:dyDescent="0.35">
      <c r="A19" t="s">
        <v>122</v>
      </c>
      <c r="B19" t="s">
        <v>123</v>
      </c>
      <c r="C19">
        <v>-8.8453247202137408</v>
      </c>
      <c r="D19">
        <v>144.404250143681</v>
      </c>
      <c r="E19">
        <v>-7.5777103549758902</v>
      </c>
      <c r="F19">
        <v>140.74666098578001</v>
      </c>
      <c r="G19">
        <v>-7.5</v>
      </c>
      <c r="H19">
        <v>-109.890109890109</v>
      </c>
      <c r="I19">
        <v>7.5</v>
      </c>
      <c r="J19">
        <v>-109.890109890109</v>
      </c>
      <c r="K19">
        <v>-7.6778793843987003</v>
      </c>
      <c r="L19">
        <v>7.6778793843987003</v>
      </c>
      <c r="M19">
        <v>0.51576558471331102</v>
      </c>
      <c r="N19">
        <v>0.48423441528668798</v>
      </c>
      <c r="O19">
        <v>-6.3311174726243502</v>
      </c>
      <c r="P19">
        <v>-12.668882527375599</v>
      </c>
      <c r="Q19">
        <f>MAX(Table10[[#This Row],[EV Home]:[EV Away]])</f>
        <v>-6.3311174726243502</v>
      </c>
    </row>
    <row r="20" spans="1:17" x14ac:dyDescent="0.35">
      <c r="A20" t="s">
        <v>132</v>
      </c>
      <c r="B20" t="s">
        <v>133</v>
      </c>
      <c r="C20">
        <v>-6.3658648641801401</v>
      </c>
      <c r="D20">
        <v>145.918249777992</v>
      </c>
      <c r="E20">
        <v>-4.5888999187126398</v>
      </c>
      <c r="F20">
        <v>143.297199717658</v>
      </c>
      <c r="G20">
        <v>-5.5</v>
      </c>
      <c r="H20">
        <v>-109.890109890109</v>
      </c>
      <c r="I20">
        <v>5.5</v>
      </c>
      <c r="J20">
        <v>-109.890109890109</v>
      </c>
      <c r="K20">
        <v>-5.4943455978615896</v>
      </c>
      <c r="L20">
        <v>5.4943455978615896</v>
      </c>
      <c r="M20">
        <v>0.499498715668933</v>
      </c>
      <c r="N20">
        <v>0.500501284331066</v>
      </c>
      <c r="O20">
        <v>-9.6007581505444204</v>
      </c>
      <c r="P20">
        <v>-9.3992418494555707</v>
      </c>
      <c r="Q20">
        <f>MAX(Table10[[#This Row],[EV Home]:[EV Away]])</f>
        <v>-9.3992418494555707</v>
      </c>
    </row>
    <row r="21" spans="1:17" x14ac:dyDescent="0.35">
      <c r="A21" t="s">
        <v>138</v>
      </c>
      <c r="B21" t="s">
        <v>139</v>
      </c>
      <c r="C21">
        <v>4.3542629361142398</v>
      </c>
      <c r="D21">
        <v>131.15122632106301</v>
      </c>
      <c r="E21">
        <v>2.27399083727019</v>
      </c>
      <c r="F21">
        <v>133.92406002029699</v>
      </c>
      <c r="G21">
        <v>3.5</v>
      </c>
      <c r="H21">
        <v>-113.636363636363</v>
      </c>
      <c r="K21">
        <v>3.4535317216730501</v>
      </c>
      <c r="M21">
        <v>0.50411951810371303</v>
      </c>
      <c r="O21">
        <v>-10.1843354154646</v>
      </c>
      <c r="Q21">
        <f>MAX(Table10[[#This Row],[EV Home]:[EV Away]])</f>
        <v>-10.1843354154646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528F-B3F4-456D-90F7-F5E8BDA64408}">
  <dimension ref="A1:R29"/>
  <sheetViews>
    <sheetView workbookViewId="0">
      <selection activeCell="R7" sqref="Q6:R7"/>
    </sheetView>
  </sheetViews>
  <sheetFormatPr defaultRowHeight="14.5" x14ac:dyDescent="0.35"/>
  <cols>
    <col min="1" max="1" width="14.1796875" bestFit="1" customWidth="1"/>
    <col min="2" max="2" width="16.26953125" bestFit="1" customWidth="1"/>
    <col min="3" max="3" width="13.453125" hidden="1" customWidth="1"/>
    <col min="4" max="4" width="12.54296875" hidden="1" customWidth="1"/>
    <col min="5" max="5" width="20.7265625" hidden="1" customWidth="1"/>
    <col min="6" max="6" width="19.81640625" hidden="1" customWidth="1"/>
    <col min="7" max="7" width="14.81640625" customWidth="1"/>
    <col min="8" max="8" width="18" customWidth="1"/>
    <col min="9" max="9" width="17.26953125" bestFit="1" customWidth="1"/>
    <col min="10" max="10" width="17.453125" customWidth="1"/>
    <col min="11" max="11" width="18.81640625" customWidth="1"/>
    <col min="12" max="12" width="18.26953125" customWidth="1"/>
    <col min="13" max="13" width="13.1796875" bestFit="1" customWidth="1"/>
    <col min="14" max="16" width="12" bestFit="1" customWidth="1"/>
    <col min="17" max="17" width="12.7265625" bestFit="1" customWidth="1"/>
  </cols>
  <sheetData>
    <row r="1" spans="1:18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90</v>
      </c>
      <c r="R1" t="s">
        <v>101</v>
      </c>
    </row>
    <row r="2" spans="1:18" x14ac:dyDescent="0.35">
      <c r="A2" t="s">
        <v>27</v>
      </c>
      <c r="B2" t="s">
        <v>28</v>
      </c>
      <c r="C2">
        <v>-13.355026047328399</v>
      </c>
      <c r="D2">
        <v>141.30349735573401</v>
      </c>
      <c r="E2">
        <v>-8.4454736744550498</v>
      </c>
      <c r="F2">
        <v>139.20919087561199</v>
      </c>
      <c r="G2">
        <v>-17.5</v>
      </c>
      <c r="H2">
        <v>-120.4819277</v>
      </c>
      <c r="I2" s="4">
        <v>17.5</v>
      </c>
      <c r="J2">
        <v>-102.0408163</v>
      </c>
      <c r="K2">
        <v>-15.8500624652229</v>
      </c>
      <c r="L2">
        <v>15.8500624652229</v>
      </c>
      <c r="M2">
        <v>0.35693901450697901</v>
      </c>
      <c r="N2">
        <v>0.64306098549302004</v>
      </c>
      <c r="O2">
        <v>-41.110770197486502</v>
      </c>
      <c r="P2">
        <v>23.756684998933402</v>
      </c>
      <c r="Q2">
        <f>MAX(Table9[[#This Row],[EV Home]],Table9[[#This Row],[EV Away]])</f>
        <v>23.756684998933402</v>
      </c>
      <c r="R2" t="s">
        <v>4</v>
      </c>
    </row>
    <row r="3" spans="1:18" x14ac:dyDescent="0.35">
      <c r="A3" t="s">
        <v>31</v>
      </c>
      <c r="B3" t="s">
        <v>32</v>
      </c>
      <c r="C3">
        <v>-8.6791416214388999</v>
      </c>
      <c r="D3">
        <v>145.955699302234</v>
      </c>
      <c r="E3">
        <v>-6.4925709883873903</v>
      </c>
      <c r="F3">
        <v>142.79682523201399</v>
      </c>
      <c r="G3">
        <v>-12.5</v>
      </c>
      <c r="H3">
        <v>-120.4819277</v>
      </c>
      <c r="I3" s="4">
        <v>12.5</v>
      </c>
      <c r="J3">
        <v>-102.0408163</v>
      </c>
      <c r="K3">
        <v>-11.271464076228201</v>
      </c>
      <c r="L3">
        <v>11.271464076228201</v>
      </c>
      <c r="M3">
        <v>0.39242353950519099</v>
      </c>
      <c r="N3">
        <v>0.60757646049480796</v>
      </c>
      <c r="O3">
        <v>-34.262256872566603</v>
      </c>
      <c r="P3">
        <v>16.375903798401101</v>
      </c>
      <c r="Q3">
        <f>MAX(Table9[[#This Row],[EV Home]],Table9[[#This Row],[EV Away]])</f>
        <v>16.375903798401101</v>
      </c>
      <c r="R3" t="s">
        <v>5</v>
      </c>
    </row>
    <row r="4" spans="1:18" x14ac:dyDescent="0.35">
      <c r="A4" t="s">
        <v>43</v>
      </c>
      <c r="B4" t="s">
        <v>44</v>
      </c>
      <c r="C4">
        <v>-1.8614571313956301</v>
      </c>
      <c r="D4">
        <v>140.65728765660501</v>
      </c>
      <c r="E4">
        <v>-1.5014567931452401</v>
      </c>
      <c r="F4">
        <v>140.597676939243</v>
      </c>
      <c r="G4">
        <v>-6.5</v>
      </c>
      <c r="H4">
        <v>-117.6470588</v>
      </c>
      <c r="I4" s="4">
        <v>6.5</v>
      </c>
      <c r="J4">
        <v>-104.16666669999999</v>
      </c>
      <c r="K4">
        <v>-5.2953642405676096</v>
      </c>
      <c r="L4">
        <v>5.2953642405676096</v>
      </c>
      <c r="M4">
        <v>0.39446634295187399</v>
      </c>
      <c r="N4">
        <v>0.60553365704812501</v>
      </c>
      <c r="O4">
        <v>-33.079063117678501</v>
      </c>
      <c r="P4">
        <v>14.7399333333119</v>
      </c>
      <c r="Q4">
        <f>MAX(Table9[[#This Row],[EV Home]],Table9[[#This Row],[EV Away]])</f>
        <v>14.7399333333119</v>
      </c>
      <c r="R4" t="s">
        <v>4</v>
      </c>
    </row>
    <row r="5" spans="1:18" x14ac:dyDescent="0.35">
      <c r="A5" t="s">
        <v>25</v>
      </c>
      <c r="B5" t="s">
        <v>26</v>
      </c>
      <c r="C5">
        <v>-4.9370948083967896</v>
      </c>
      <c r="D5">
        <v>138.91188829481001</v>
      </c>
      <c r="E5">
        <v>-4.8341941029030204</v>
      </c>
      <c r="F5">
        <v>138.40305940081399</v>
      </c>
      <c r="G5">
        <v>-9.5</v>
      </c>
      <c r="H5">
        <v>-112.35955060000001</v>
      </c>
      <c r="I5" s="4">
        <v>9.5</v>
      </c>
      <c r="J5">
        <v>-107.5268817</v>
      </c>
      <c r="K5">
        <v>-8.3464111139124704</v>
      </c>
      <c r="L5">
        <v>8.3464111139124704</v>
      </c>
      <c r="M5">
        <v>0.39883910489156899</v>
      </c>
      <c r="N5">
        <v>0.60116089510843096</v>
      </c>
      <c r="O5">
        <v>-30.631018138646599</v>
      </c>
      <c r="P5">
        <v>12.0356617176339</v>
      </c>
      <c r="Q5">
        <f>MAX(Table9[[#This Row],[EV Home]],Table9[[#This Row],[EV Away]])</f>
        <v>12.0356617176339</v>
      </c>
      <c r="R5" t="s">
        <v>4</v>
      </c>
    </row>
    <row r="6" spans="1:18" x14ac:dyDescent="0.35">
      <c r="A6" t="s">
        <v>35</v>
      </c>
      <c r="B6" t="s">
        <v>36</v>
      </c>
      <c r="C6">
        <v>-2.6244147207872399</v>
      </c>
      <c r="D6">
        <v>139.816842668856</v>
      </c>
      <c r="E6">
        <v>-1.1528499508638399</v>
      </c>
      <c r="F6">
        <v>138.429761178375</v>
      </c>
      <c r="G6">
        <v>-7.5</v>
      </c>
      <c r="H6">
        <v>-104.16666669999999</v>
      </c>
      <c r="I6" s="4">
        <v>7.5</v>
      </c>
      <c r="J6">
        <v>-117.6470588</v>
      </c>
      <c r="K6">
        <v>-6.0971580839563799</v>
      </c>
      <c r="L6">
        <v>6.0971580839563799</v>
      </c>
      <c r="M6">
        <v>0.37761805675601401</v>
      </c>
      <c r="N6">
        <v>0.62238194324398499</v>
      </c>
      <c r="O6">
        <v>-32.210680319861297</v>
      </c>
      <c r="P6">
        <v>11.364478943157501</v>
      </c>
      <c r="Q6">
        <f>MAX(Table9[[#This Row],[EV Home]],Table9[[#This Row],[EV Away]])</f>
        <v>11.364478943157501</v>
      </c>
      <c r="R6" t="s">
        <v>4</v>
      </c>
    </row>
    <row r="7" spans="1:18" x14ac:dyDescent="0.35">
      <c r="A7" t="s">
        <v>37</v>
      </c>
      <c r="B7" t="s">
        <v>38</v>
      </c>
      <c r="C7">
        <v>5.9505305529836097</v>
      </c>
      <c r="D7">
        <v>128.82483924157799</v>
      </c>
      <c r="E7">
        <v>2.7234943006236598</v>
      </c>
      <c r="F7">
        <v>131.00257939019301</v>
      </c>
      <c r="G7">
        <v>-1.5</v>
      </c>
      <c r="H7">
        <v>-102.0408163</v>
      </c>
      <c r="I7" s="4">
        <v>1.5</v>
      </c>
      <c r="J7">
        <v>-120.4819277</v>
      </c>
      <c r="K7">
        <v>-4.0746893299089301E-2</v>
      </c>
      <c r="L7">
        <v>4.0746893299089301E-2</v>
      </c>
      <c r="M7">
        <v>0.37286360979863198</v>
      </c>
      <c r="N7">
        <v>0.62713639020136702</v>
      </c>
      <c r="O7">
        <v>-32.444369152383899</v>
      </c>
      <c r="P7">
        <v>11.037323313548599</v>
      </c>
      <c r="Q7">
        <f>MAX(Table9[[#This Row],[EV Home]],Table9[[#This Row],[EV Away]])</f>
        <v>11.037323313548599</v>
      </c>
      <c r="R7" t="s">
        <v>4</v>
      </c>
    </row>
    <row r="8" spans="1:18" x14ac:dyDescent="0.35">
      <c r="A8" t="s">
        <v>87</v>
      </c>
      <c r="B8" t="s">
        <v>88</v>
      </c>
      <c r="C8">
        <v>4.1106557498643399</v>
      </c>
      <c r="D8">
        <v>130.93520298849199</v>
      </c>
      <c r="E8">
        <v>-0.18473396302145101</v>
      </c>
      <c r="F8">
        <v>135.22511776632899</v>
      </c>
      <c r="G8">
        <v>-1.5</v>
      </c>
      <c r="H8">
        <v>-117.6470588</v>
      </c>
      <c r="I8">
        <v>1.5</v>
      </c>
      <c r="J8">
        <v>-104.16666669999999</v>
      </c>
      <c r="K8">
        <v>-0.63425977664463795</v>
      </c>
      <c r="L8">
        <v>0.63425977664463795</v>
      </c>
      <c r="M8">
        <v>0.42371964845182802</v>
      </c>
      <c r="N8">
        <v>0.57628035154817103</v>
      </c>
      <c r="O8">
        <v>-27.374668544690199</v>
      </c>
      <c r="P8">
        <v>8.7137524012200398</v>
      </c>
      <c r="Q8">
        <f>MAX(Table9[[#This Row],[EV Home]],Table9[[#This Row],[EV Away]])</f>
        <v>8.7137524012200398</v>
      </c>
      <c r="R8" t="s">
        <v>4</v>
      </c>
    </row>
    <row r="9" spans="1:18" x14ac:dyDescent="0.35">
      <c r="A9" t="s">
        <v>41</v>
      </c>
      <c r="B9" t="s">
        <v>42</v>
      </c>
      <c r="C9">
        <v>0.65175513586576295</v>
      </c>
      <c r="D9">
        <v>125.116277554614</v>
      </c>
      <c r="E9">
        <v>-0.176740758936553</v>
      </c>
      <c r="F9">
        <v>126.743383356595</v>
      </c>
      <c r="G9">
        <v>-3.5</v>
      </c>
      <c r="H9">
        <v>-107.5268817</v>
      </c>
      <c r="I9">
        <v>3.5</v>
      </c>
      <c r="J9">
        <v>-112.35955060000001</v>
      </c>
      <c r="K9">
        <v>-2.5656232028838399</v>
      </c>
      <c r="L9">
        <v>2.5656232028838399</v>
      </c>
      <c r="M9">
        <v>0.41775531264003701</v>
      </c>
      <c r="N9">
        <v>0.58224468735996204</v>
      </c>
      <c r="O9">
        <v>-25.1956715266906</v>
      </c>
      <c r="P9">
        <v>5.8666927670137996</v>
      </c>
      <c r="Q9">
        <f>MAX(Table9[[#This Row],[EV Home]],Table9[[#This Row],[EV Away]])</f>
        <v>5.8666927670137996</v>
      </c>
      <c r="R9" t="s">
        <v>4</v>
      </c>
    </row>
    <row r="10" spans="1:18" x14ac:dyDescent="0.35">
      <c r="A10" t="s">
        <v>80</v>
      </c>
      <c r="B10" t="s">
        <v>63</v>
      </c>
      <c r="C10">
        <v>13.3708944440249</v>
      </c>
      <c r="D10">
        <v>140.182757955098</v>
      </c>
      <c r="E10">
        <v>4.0908310145749196</v>
      </c>
      <c r="F10">
        <v>147.53263770421501</v>
      </c>
      <c r="G10">
        <v>4.5</v>
      </c>
      <c r="H10">
        <v>-102.0408163</v>
      </c>
      <c r="I10" s="4">
        <v>-4.5</v>
      </c>
      <c r="J10">
        <v>-120.4819277</v>
      </c>
      <c r="K10">
        <v>5.5577156823249796</v>
      </c>
      <c r="L10">
        <v>-5.5577156823249796</v>
      </c>
      <c r="M10">
        <v>0.40708576640642302</v>
      </c>
      <c r="N10">
        <v>0.59291423359357598</v>
      </c>
      <c r="O10">
        <v>-25.3261605770914</v>
      </c>
      <c r="P10">
        <v>4.4324470879893596</v>
      </c>
      <c r="Q10">
        <f>MAX(Table9[[#This Row],[EV Home]],Table9[[#This Row],[EV Away]])</f>
        <v>4.4324470879893596</v>
      </c>
      <c r="R10" t="s">
        <v>4</v>
      </c>
    </row>
    <row r="11" spans="1:18" x14ac:dyDescent="0.35">
      <c r="A11" t="s">
        <v>59</v>
      </c>
      <c r="B11" t="s">
        <v>60</v>
      </c>
      <c r="C11">
        <v>3.2684387598465898</v>
      </c>
      <c r="D11">
        <v>130.212934415577</v>
      </c>
      <c r="E11">
        <v>-0.240807473171117</v>
      </c>
      <c r="F11">
        <v>132.379729796432</v>
      </c>
      <c r="G11" s="4">
        <v>5.5</v>
      </c>
      <c r="H11">
        <v>-120.4819277</v>
      </c>
      <c r="I11">
        <v>-5.5</v>
      </c>
      <c r="J11">
        <v>-102.0408163</v>
      </c>
      <c r="K11">
        <v>4.5034539108344296</v>
      </c>
      <c r="L11">
        <v>-4.5034539108344296</v>
      </c>
      <c r="M11">
        <v>0.58763079219941805</v>
      </c>
      <c r="N11">
        <v>0.41236920780058101</v>
      </c>
      <c r="O11">
        <v>3.4127428988773501</v>
      </c>
      <c r="P11">
        <v>-24.227204766971798</v>
      </c>
      <c r="Q11">
        <f>MAX(Table9[[#This Row],[EV Home]],Table9[[#This Row],[EV Away]])</f>
        <v>3.4127428988773501</v>
      </c>
      <c r="R11" t="s">
        <v>4</v>
      </c>
    </row>
    <row r="12" spans="1:18" x14ac:dyDescent="0.35">
      <c r="A12" t="s">
        <v>78</v>
      </c>
      <c r="B12" t="s">
        <v>79</v>
      </c>
      <c r="C12">
        <v>-1.6946614775176601</v>
      </c>
      <c r="D12">
        <v>129.66642767296301</v>
      </c>
      <c r="E12">
        <v>-0.98382552552038205</v>
      </c>
      <c r="F12">
        <v>131.45895774440601</v>
      </c>
      <c r="G12">
        <v>-4.5</v>
      </c>
      <c r="H12">
        <v>-104.16666669999999</v>
      </c>
      <c r="I12">
        <v>4.5</v>
      </c>
      <c r="J12">
        <v>-117.6470588</v>
      </c>
      <c r="K12">
        <v>-3.7098108753797501</v>
      </c>
      <c r="L12">
        <v>3.7098108753797501</v>
      </c>
      <c r="M12">
        <v>0.430305050569604</v>
      </c>
      <c r="N12">
        <v>0.569694949430395</v>
      </c>
      <c r="O12">
        <v>-21.3571595958804</v>
      </c>
      <c r="P12">
        <v>1.0905151486119</v>
      </c>
      <c r="Q12">
        <f>MAX(Table9[[#This Row],[EV Home]],Table9[[#This Row],[EV Away]])</f>
        <v>1.0905151486119</v>
      </c>
      <c r="R12" t="s">
        <v>4</v>
      </c>
    </row>
    <row r="13" spans="1:18" x14ac:dyDescent="0.35">
      <c r="A13" t="s">
        <v>57</v>
      </c>
      <c r="B13" t="s">
        <v>58</v>
      </c>
      <c r="C13">
        <v>8.85061556594294</v>
      </c>
      <c r="D13">
        <v>135.05103596745499</v>
      </c>
      <c r="E13">
        <v>3.27941405230602</v>
      </c>
      <c r="F13">
        <v>141.909198774374</v>
      </c>
      <c r="G13">
        <v>7.5</v>
      </c>
      <c r="H13">
        <v>-105.2631579</v>
      </c>
      <c r="I13">
        <v>-7.5</v>
      </c>
      <c r="J13">
        <v>-114.9425287</v>
      </c>
      <c r="K13">
        <v>7.1412537022811202</v>
      </c>
      <c r="L13">
        <v>-7.1412537022811202</v>
      </c>
      <c r="M13">
        <v>0.531770580356421</v>
      </c>
      <c r="N13">
        <v>0.468229419643578</v>
      </c>
      <c r="O13">
        <v>-0.98703102945957899</v>
      </c>
      <c r="P13">
        <v>-17.758804317586801</v>
      </c>
      <c r="Q13">
        <f>MAX(Table9[[#This Row],[EV Home]],Table9[[#This Row],[EV Away]])</f>
        <v>-0.98703102945957899</v>
      </c>
      <c r="R13" t="s">
        <v>5</v>
      </c>
    </row>
    <row r="14" spans="1:18" x14ac:dyDescent="0.35">
      <c r="A14" t="s">
        <v>51</v>
      </c>
      <c r="B14" t="s">
        <v>52</v>
      </c>
      <c r="C14">
        <v>0.28225655401716299</v>
      </c>
      <c r="D14">
        <v>134.138228913847</v>
      </c>
      <c r="E14">
        <v>-3.4251678951801101</v>
      </c>
      <c r="F14">
        <v>135.894223324683</v>
      </c>
      <c r="G14">
        <v>1.5</v>
      </c>
      <c r="H14">
        <v>-121.95121949999999</v>
      </c>
      <c r="I14">
        <v>-1.5</v>
      </c>
      <c r="J14">
        <v>100</v>
      </c>
      <c r="K14">
        <v>0.73213608235463101</v>
      </c>
      <c r="L14">
        <v>-0.73213608235463101</v>
      </c>
      <c r="M14">
        <v>0.56774517298178995</v>
      </c>
      <c r="N14">
        <v>0.432254827018209</v>
      </c>
      <c r="O14">
        <v>-0.99292678284071201</v>
      </c>
      <c r="P14">
        <v>-19.226486326176001</v>
      </c>
      <c r="Q14">
        <f>MAX(Table9[[#This Row],[EV Home]],Table9[[#This Row],[EV Away]])</f>
        <v>-0.99292678284071201</v>
      </c>
      <c r="R14" t="s">
        <v>5</v>
      </c>
    </row>
    <row r="15" spans="1:18" x14ac:dyDescent="0.35">
      <c r="A15" t="s">
        <v>76</v>
      </c>
      <c r="B15" t="s">
        <v>77</v>
      </c>
      <c r="C15">
        <v>-6.3321644633348102</v>
      </c>
      <c r="D15">
        <v>136.41961833478001</v>
      </c>
      <c r="E15">
        <v>-2.735893892395</v>
      </c>
      <c r="F15">
        <v>134.675793382373</v>
      </c>
      <c r="G15">
        <v>-6.5</v>
      </c>
      <c r="H15">
        <v>-106.3829787</v>
      </c>
      <c r="I15">
        <v>6.5</v>
      </c>
      <c r="J15">
        <v>-113.6363636</v>
      </c>
      <c r="K15">
        <v>-6.0085072944662201</v>
      </c>
      <c r="L15">
        <v>6.0085072944662201</v>
      </c>
      <c r="M15">
        <v>0.45651376031951302</v>
      </c>
      <c r="N15">
        <v>0.54348623968048604</v>
      </c>
      <c r="O15">
        <v>-16.871192885378498</v>
      </c>
      <c r="P15">
        <v>-2.3897245279590602</v>
      </c>
      <c r="Q15">
        <f>MAX(Table9[[#This Row],[EV Home]],Table9[[#This Row],[EV Away]])</f>
        <v>-2.3897245279590602</v>
      </c>
      <c r="R15" t="s">
        <v>5</v>
      </c>
    </row>
    <row r="16" spans="1:18" x14ac:dyDescent="0.35">
      <c r="A16" t="s">
        <v>55</v>
      </c>
      <c r="B16" t="s">
        <v>56</v>
      </c>
      <c r="C16">
        <v>-17.992277280000501</v>
      </c>
      <c r="D16">
        <v>148.52018434425599</v>
      </c>
      <c r="E16">
        <v>-10.1427776613949</v>
      </c>
      <c r="F16">
        <v>141.74526518834699</v>
      </c>
      <c r="G16">
        <v>-12.5</v>
      </c>
      <c r="H16">
        <v>-109.8901099</v>
      </c>
      <c r="I16">
        <v>12.5</v>
      </c>
      <c r="J16">
        <v>-109.8901099</v>
      </c>
      <c r="K16">
        <v>-12.8918818676744</v>
      </c>
      <c r="L16">
        <v>12.8918818676744</v>
      </c>
      <c r="M16">
        <v>0.53469796997845398</v>
      </c>
      <c r="N16">
        <v>0.46530203002154502</v>
      </c>
      <c r="O16">
        <v>-2.5257080387097601</v>
      </c>
      <c r="P16">
        <v>-16.474291969480198</v>
      </c>
      <c r="Q16">
        <f>MAX(Table9[[#This Row],[EV Home]],Table9[[#This Row],[EV Away]])</f>
        <v>-2.5257080387097601</v>
      </c>
      <c r="R16" t="s">
        <v>5</v>
      </c>
    </row>
    <row r="17" spans="1:18" x14ac:dyDescent="0.35">
      <c r="A17" t="s">
        <v>29</v>
      </c>
      <c r="B17" t="s">
        <v>30</v>
      </c>
      <c r="C17">
        <v>-11.0148129877131</v>
      </c>
      <c r="D17">
        <v>145.81463465685499</v>
      </c>
      <c r="E17">
        <v>-8.1378796985890602</v>
      </c>
      <c r="F17">
        <v>140.64743578393299</v>
      </c>
      <c r="G17">
        <v>-10.5</v>
      </c>
      <c r="H17">
        <v>-117.6470588</v>
      </c>
      <c r="I17">
        <v>10.5</v>
      </c>
      <c r="J17">
        <v>-104.16666669999999</v>
      </c>
      <c r="K17">
        <v>-10.269086585787701</v>
      </c>
      <c r="L17">
        <v>10.269086585787701</v>
      </c>
      <c r="M17">
        <v>0.47953761953438601</v>
      </c>
      <c r="N17">
        <v>0.52046238046561299</v>
      </c>
      <c r="O17">
        <v>-16.490164182642399</v>
      </c>
      <c r="P17">
        <v>-2.78474964007227</v>
      </c>
      <c r="Q17">
        <f>MAX(Table9[[#This Row],[EV Home]],Table9[[#This Row],[EV Away]])</f>
        <v>-2.78474964007227</v>
      </c>
      <c r="R17" t="s">
        <v>5</v>
      </c>
    </row>
    <row r="18" spans="1:18" x14ac:dyDescent="0.35">
      <c r="A18" t="s">
        <v>45</v>
      </c>
      <c r="B18" t="s">
        <v>46</v>
      </c>
      <c r="C18">
        <v>-5.94250366035378</v>
      </c>
      <c r="D18">
        <v>139.204282995178</v>
      </c>
      <c r="E18">
        <v>-5.1886733130947</v>
      </c>
      <c r="F18">
        <v>138.518153353146</v>
      </c>
      <c r="G18">
        <v>-6.5</v>
      </c>
      <c r="H18">
        <v>-114.9425287</v>
      </c>
      <c r="I18">
        <v>6.5</v>
      </c>
      <c r="J18">
        <v>-105.2631579</v>
      </c>
      <c r="K18">
        <v>-6.2663971216810603</v>
      </c>
      <c r="L18">
        <v>6.2663971216810603</v>
      </c>
      <c r="M18">
        <v>0.47929950558351497</v>
      </c>
      <c r="N18">
        <v>0.52070049441648403</v>
      </c>
      <c r="O18">
        <v>-15.577997387120799</v>
      </c>
      <c r="P18">
        <v>-3.2563986470939099</v>
      </c>
      <c r="Q18">
        <f>MAX(Table9[[#This Row],[EV Home]],Table9[[#This Row],[EV Away]])</f>
        <v>-3.2563986470939099</v>
      </c>
      <c r="R18" t="s">
        <v>5</v>
      </c>
    </row>
    <row r="19" spans="1:18" x14ac:dyDescent="0.35">
      <c r="A19" t="s">
        <v>33</v>
      </c>
      <c r="B19" t="s">
        <v>34</v>
      </c>
      <c r="C19">
        <v>11.023194279982899</v>
      </c>
      <c r="D19">
        <v>119.83329957270399</v>
      </c>
      <c r="E19">
        <v>4.7875294884291701</v>
      </c>
      <c r="F19">
        <v>126.139670603429</v>
      </c>
      <c r="G19">
        <v>9.5</v>
      </c>
      <c r="H19">
        <v>-113.6363636</v>
      </c>
      <c r="I19">
        <v>-9.5</v>
      </c>
      <c r="J19">
        <v>-106.3829787</v>
      </c>
      <c r="K19">
        <v>9.1013404710515093</v>
      </c>
      <c r="L19">
        <v>-9.1013404710515093</v>
      </c>
      <c r="M19">
        <v>0.53529652209606504</v>
      </c>
      <c r="N19">
        <v>0.46470347790393401</v>
      </c>
      <c r="O19">
        <v>-4.01128860990503</v>
      </c>
      <c r="P19">
        <v>-15.2004904979873</v>
      </c>
      <c r="Q19">
        <f>MAX(Table9[[#This Row],[EV Home]],Table9[[#This Row],[EV Away]])</f>
        <v>-4.01128860990503</v>
      </c>
      <c r="R19" t="s">
        <v>4</v>
      </c>
    </row>
    <row r="20" spans="1:18" x14ac:dyDescent="0.35">
      <c r="A20" t="s">
        <v>53</v>
      </c>
      <c r="B20" t="s">
        <v>54</v>
      </c>
      <c r="C20">
        <v>20.6275797601335</v>
      </c>
      <c r="D20">
        <v>120.075844362834</v>
      </c>
      <c r="E20">
        <v>8.0456185021246291</v>
      </c>
      <c r="F20">
        <v>131.16615515488701</v>
      </c>
      <c r="G20">
        <v>16.5</v>
      </c>
      <c r="H20">
        <v>-120.4819277</v>
      </c>
      <c r="I20">
        <v>-16.5</v>
      </c>
      <c r="J20">
        <v>-102.0408163</v>
      </c>
      <c r="K20">
        <v>15.9591497827822</v>
      </c>
      <c r="L20">
        <v>-15.9591497827822</v>
      </c>
      <c r="M20">
        <v>0.54783325944195405</v>
      </c>
      <c r="N20">
        <v>0.45216674055804501</v>
      </c>
      <c r="O20">
        <v>-4.2681809236103998</v>
      </c>
      <c r="P20">
        <v>-15.9493179524054</v>
      </c>
      <c r="Q20">
        <f>MAX(Table9[[#This Row],[EV Home]],Table9[[#This Row],[EV Away]])</f>
        <v>-4.2681809236103998</v>
      </c>
      <c r="R20" t="s">
        <v>5</v>
      </c>
    </row>
    <row r="21" spans="1:18" x14ac:dyDescent="0.35">
      <c r="A21" t="s">
        <v>47</v>
      </c>
      <c r="B21" t="s">
        <v>48</v>
      </c>
      <c r="C21">
        <v>15.1047061072289</v>
      </c>
      <c r="D21">
        <v>121.202260774427</v>
      </c>
      <c r="E21">
        <v>6.4857901175391603</v>
      </c>
      <c r="F21">
        <v>129.152001642747</v>
      </c>
      <c r="G21">
        <v>10.5</v>
      </c>
      <c r="H21">
        <v>-120.4819277</v>
      </c>
      <c r="I21">
        <v>-10.5</v>
      </c>
      <c r="J21">
        <v>-102.0408163</v>
      </c>
      <c r="K21">
        <v>10.573812028096</v>
      </c>
      <c r="L21">
        <v>-10.573812028096</v>
      </c>
      <c r="M21">
        <v>0.49345657368144102</v>
      </c>
      <c r="N21">
        <v>0.50654342631855798</v>
      </c>
      <c r="O21">
        <v>-14.7628812757955</v>
      </c>
      <c r="P21">
        <v>-4.6389673128331896</v>
      </c>
      <c r="Q21">
        <f>MAX(Table9[[#This Row],[EV Home]],Table9[[#This Row],[EV Away]])</f>
        <v>-4.6389673128331896</v>
      </c>
      <c r="R21" t="s">
        <v>4</v>
      </c>
    </row>
    <row r="22" spans="1:18" x14ac:dyDescent="0.35">
      <c r="A22" t="s">
        <v>85</v>
      </c>
      <c r="B22" t="s">
        <v>86</v>
      </c>
      <c r="C22">
        <v>-22.043540955123198</v>
      </c>
      <c r="D22">
        <v>146.70393149826899</v>
      </c>
      <c r="E22">
        <v>-12.051374499691599</v>
      </c>
      <c r="F22">
        <v>137.22127477575799</v>
      </c>
      <c r="G22">
        <v>-18.5</v>
      </c>
      <c r="H22">
        <v>-105.2631579</v>
      </c>
      <c r="I22">
        <v>18.5</v>
      </c>
      <c r="J22">
        <v>-114.9425287</v>
      </c>
      <c r="K22">
        <v>-18.136864431851802</v>
      </c>
      <c r="L22">
        <v>18.136864431851802</v>
      </c>
      <c r="M22">
        <v>0.46784154368888897</v>
      </c>
      <c r="N22">
        <v>0.53215845631111003</v>
      </c>
      <c r="O22">
        <v>-14.092483545999899</v>
      </c>
      <c r="P22">
        <v>-5.1647840923588504</v>
      </c>
      <c r="Q22">
        <f>MAX(Table9[[#This Row],[EV Home]],Table9[[#This Row],[EV Away]])</f>
        <v>-5.1647840923588504</v>
      </c>
      <c r="R22" t="s">
        <v>5</v>
      </c>
    </row>
    <row r="23" spans="1:18" x14ac:dyDescent="0.35">
      <c r="A23" t="s">
        <v>39</v>
      </c>
      <c r="B23" t="s">
        <v>40</v>
      </c>
      <c r="C23">
        <v>2.8189713662380602</v>
      </c>
      <c r="D23">
        <v>130.557268983912</v>
      </c>
      <c r="E23">
        <v>1.34640608632942</v>
      </c>
      <c r="F23">
        <v>131.54814993636299</v>
      </c>
      <c r="G23">
        <v>3.5</v>
      </c>
      <c r="H23">
        <v>-114.9425287</v>
      </c>
      <c r="I23">
        <v>-3.5</v>
      </c>
      <c r="J23">
        <v>-105.2631579</v>
      </c>
      <c r="K23">
        <v>3.1456721815709301</v>
      </c>
      <c r="L23">
        <v>-3.1456721815709301</v>
      </c>
      <c r="M23">
        <v>0.53138009277727505</v>
      </c>
      <c r="N23">
        <v>0.46861990722272401</v>
      </c>
      <c r="O23">
        <v>-5.3181217085454202</v>
      </c>
      <c r="P23">
        <v>-13.932919021567301</v>
      </c>
      <c r="Q23">
        <f>MAX(Table9[[#This Row],[EV Home]],Table9[[#This Row],[EV Away]])</f>
        <v>-5.3181217085454202</v>
      </c>
      <c r="R23" t="s">
        <v>4</v>
      </c>
    </row>
    <row r="24" spans="1:18" x14ac:dyDescent="0.35">
      <c r="A24" t="s">
        <v>23</v>
      </c>
      <c r="B24" t="s">
        <v>24</v>
      </c>
      <c r="C24">
        <v>6.68285501346499</v>
      </c>
      <c r="D24">
        <v>132.01406106873699</v>
      </c>
      <c r="E24">
        <v>4.0211070959208399</v>
      </c>
      <c r="F24">
        <v>132.446398758615</v>
      </c>
      <c r="G24">
        <v>5.5</v>
      </c>
      <c r="H24">
        <v>-120.4819277</v>
      </c>
      <c r="I24">
        <v>-5.5</v>
      </c>
      <c r="J24">
        <v>-102.0408163</v>
      </c>
      <c r="K24">
        <v>5.4629952636732302</v>
      </c>
      <c r="L24">
        <v>-5.4629952636732302</v>
      </c>
      <c r="M24">
        <v>0.50328057500350598</v>
      </c>
      <c r="N24">
        <v>0.49671942499649402</v>
      </c>
      <c r="O24">
        <v>-12.8668490205638</v>
      </c>
      <c r="P24">
        <v>-6.6823595880728304</v>
      </c>
      <c r="Q24">
        <f>MAX(Table9[[#This Row],[EV Home]],Table9[[#This Row],[EV Away]])</f>
        <v>-6.6823595880728304</v>
      </c>
      <c r="R24" t="s">
        <v>4</v>
      </c>
    </row>
    <row r="25" spans="1:18" x14ac:dyDescent="0.35">
      <c r="A25" t="s">
        <v>83</v>
      </c>
      <c r="B25" t="s">
        <v>84</v>
      </c>
      <c r="C25">
        <v>-12.6146647643173</v>
      </c>
      <c r="D25">
        <v>149.900807416021</v>
      </c>
      <c r="E25">
        <v>-6.8278486913564302</v>
      </c>
      <c r="F25">
        <v>140.36652423317199</v>
      </c>
      <c r="G25">
        <v>-9.5</v>
      </c>
      <c r="H25">
        <v>-120.4819277</v>
      </c>
      <c r="I25">
        <v>9.5</v>
      </c>
      <c r="J25">
        <v>-102.0408163</v>
      </c>
      <c r="K25">
        <v>-9.5553141819592202</v>
      </c>
      <c r="L25">
        <v>9.5553141819592202</v>
      </c>
      <c r="M25">
        <v>0.50490369115517097</v>
      </c>
      <c r="N25">
        <v>0.49509630884482803</v>
      </c>
      <c r="O25">
        <v>-12.553587603280199</v>
      </c>
      <c r="P25">
        <v>-7.0199677476606501</v>
      </c>
      <c r="Q25">
        <f>MAX(Table9[[#This Row],[EV Home]],Table9[[#This Row],[EV Away]])</f>
        <v>-7.0199677476606501</v>
      </c>
      <c r="R25" t="s">
        <v>5</v>
      </c>
    </row>
    <row r="26" spans="1:18" x14ac:dyDescent="0.35">
      <c r="A26" t="s">
        <v>81</v>
      </c>
      <c r="B26" t="s">
        <v>82</v>
      </c>
      <c r="C26">
        <v>10.9050855932385</v>
      </c>
      <c r="D26">
        <v>123.93576405818099</v>
      </c>
      <c r="E26">
        <v>3.1378694108098899</v>
      </c>
      <c r="F26">
        <v>130.724901744996</v>
      </c>
      <c r="G26">
        <v>7.5</v>
      </c>
      <c r="H26">
        <v>-109.8901099</v>
      </c>
      <c r="I26">
        <v>-7.5</v>
      </c>
      <c r="J26">
        <v>-109.8901099</v>
      </c>
      <c r="K26">
        <v>7.3803693755060502</v>
      </c>
      <c r="L26">
        <v>-7.3803693755060502</v>
      </c>
      <c r="M26">
        <v>0.51060446513888402</v>
      </c>
      <c r="N26">
        <v>0.48939553486111498</v>
      </c>
      <c r="O26">
        <v>-7.3685025112660396</v>
      </c>
      <c r="P26">
        <v>-11.631497496923901</v>
      </c>
      <c r="Q26">
        <f>MAX(Table9[[#This Row],[EV Home]],Table9[[#This Row],[EV Away]])</f>
        <v>-7.3685025112660396</v>
      </c>
      <c r="R26" t="s">
        <v>4</v>
      </c>
    </row>
    <row r="27" spans="1:18" x14ac:dyDescent="0.35">
      <c r="A27" t="s">
        <v>61</v>
      </c>
      <c r="B27" t="s">
        <v>62</v>
      </c>
      <c r="C27">
        <v>3.85445810219389</v>
      </c>
      <c r="D27">
        <v>122.764063977032</v>
      </c>
      <c r="E27">
        <v>0.59803784381404101</v>
      </c>
      <c r="F27">
        <v>125.62907030743</v>
      </c>
      <c r="G27">
        <v>2.5</v>
      </c>
      <c r="H27">
        <v>-114.9425287</v>
      </c>
      <c r="I27">
        <v>-2.5</v>
      </c>
      <c r="J27">
        <v>-105.2631579</v>
      </c>
      <c r="K27">
        <v>2.4315619932509902</v>
      </c>
      <c r="L27">
        <v>-2.4315619932509902</v>
      </c>
      <c r="M27">
        <v>0.50606705822356102</v>
      </c>
      <c r="N27">
        <v>0.49393294177643798</v>
      </c>
      <c r="O27">
        <v>-10.304789516309601</v>
      </c>
      <c r="P27">
        <v>-8.7437469381763808</v>
      </c>
      <c r="Q27">
        <f>MAX(Table9[[#This Row],[EV Home]],Table9[[#This Row],[EV Away]])</f>
        <v>-8.7437469381763808</v>
      </c>
      <c r="R27" t="s">
        <v>4</v>
      </c>
    </row>
    <row r="28" spans="1:18" x14ac:dyDescent="0.35">
      <c r="A28" t="s">
        <v>74</v>
      </c>
      <c r="B28" t="s">
        <v>75</v>
      </c>
      <c r="C28">
        <v>13.551224359952601</v>
      </c>
      <c r="D28">
        <v>134.71800108638899</v>
      </c>
      <c r="E28">
        <v>4.7047739373720798</v>
      </c>
      <c r="F28">
        <v>142.292190873907</v>
      </c>
      <c r="G28">
        <v>8.5</v>
      </c>
      <c r="H28">
        <v>-105.2631579</v>
      </c>
      <c r="I28">
        <v>-8.5</v>
      </c>
      <c r="J28">
        <v>-114.9425287</v>
      </c>
      <c r="K28">
        <v>8.6569997871655904</v>
      </c>
      <c r="L28">
        <v>-8.6569997871655904</v>
      </c>
      <c r="M28">
        <v>0.48608418915851498</v>
      </c>
      <c r="N28">
        <v>0.51391581084148397</v>
      </c>
      <c r="O28">
        <v>-10.352741224813199</v>
      </c>
      <c r="P28">
        <v>-8.7585852503672594</v>
      </c>
      <c r="Q28">
        <f>MAX(Table9[[#This Row],[EV Home]],Table9[[#This Row],[EV Away]])</f>
        <v>-8.7585852503672594</v>
      </c>
      <c r="R28" t="s">
        <v>5</v>
      </c>
    </row>
    <row r="29" spans="1:18" x14ac:dyDescent="0.35">
      <c r="A29" t="s">
        <v>49</v>
      </c>
      <c r="B29" t="s">
        <v>50</v>
      </c>
      <c r="C29">
        <v>-6.3136353239846104</v>
      </c>
      <c r="D29">
        <v>137.41581850660299</v>
      </c>
      <c r="E29">
        <v>-5.5862524791651103</v>
      </c>
      <c r="F29">
        <v>136.005738950097</v>
      </c>
      <c r="G29">
        <v>-5.5</v>
      </c>
      <c r="H29">
        <v>-114.9425287</v>
      </c>
      <c r="I29">
        <v>5.5</v>
      </c>
      <c r="J29">
        <v>-105.2631579</v>
      </c>
      <c r="K29">
        <v>-5.6124859753937102</v>
      </c>
      <c r="L29">
        <v>5.6124859753937102</v>
      </c>
      <c r="M29">
        <v>0.50997127524846797</v>
      </c>
      <c r="N29">
        <v>0.49002872475153098</v>
      </c>
      <c r="O29">
        <v>-9.5356587622977997</v>
      </c>
      <c r="P29">
        <v>-9.5441114282636494</v>
      </c>
      <c r="Q29">
        <f>MAX(Table9[[#This Row],[EV Home]],Table9[[#This Row],[EV Away]])</f>
        <v>-9.5356587622977997</v>
      </c>
      <c r="R29" t="s">
        <v>5</v>
      </c>
    </row>
  </sheetData>
  <phoneticPr fontId="1" type="noConversion"/>
  <conditionalFormatting sqref="Q1:Q1048576">
    <cfRule type="cellIs" dxfId="2" priority="1" operator="between">
      <formula>0</formula>
      <formula>5</formula>
    </cfRule>
  </conditionalFormatting>
  <conditionalFormatting sqref="Q2:Q29">
    <cfRule type="cellIs" dxfId="1" priority="2" operator="lessThan">
      <formula>0</formula>
    </cfRule>
    <cfRule type="cellIs" dxfId="0" priority="3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Tracker</vt:lpstr>
      <vt:lpstr>Sheet5</vt:lpstr>
      <vt:lpstr>Sheet3</vt:lpstr>
      <vt:lpstr>Sheet2</vt:lpstr>
      <vt:lpstr>Sheet1</vt:lpstr>
      <vt:lpstr>3-5 p2</vt:lpstr>
      <vt:lpstr>3-5 p1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Vemuri</dc:creator>
  <cp:lastModifiedBy>Manas Vemuri</cp:lastModifiedBy>
  <dcterms:created xsi:type="dcterms:W3CDTF">2025-02-22T21:59:54Z</dcterms:created>
  <dcterms:modified xsi:type="dcterms:W3CDTF">2025-10-21T20:51:17Z</dcterms:modified>
</cp:coreProperties>
</file>